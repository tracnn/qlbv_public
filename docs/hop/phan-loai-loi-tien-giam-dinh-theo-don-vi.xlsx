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ổng quan hệ thống" sheetId="1" state="visible" r:id="rId3"/>
    <sheet name="Tổng hợp" sheetId="2" state="visible" r:id="rId4"/>
    <sheet name="Trọng tâm theo đơn vị" sheetId="3" state="visible" r:id="rId5"/>
    <sheet name="Tài khoản thay CCHN" sheetId="4" state="visible" r:id="rId6"/>
    <sheet name="Danh mục lỗi" sheetId="5" state="visible" r:id="rId7"/>
    <sheet name="Đối chiếu FIXERROR" sheetId="6" state="visible" r:id="rId8"/>
    <sheet name="Ghi chú" sheetId="7" state="visible" r:id="rId9"/>
  </sheets>
  <definedNames>
    <definedName function="false" hidden="false" localSheetId="4" name="_xlnm.Print_Titles" vbProcedure="false">'Danh mục lỗi'!$4:$4</definedName>
    <definedName function="false" hidden="true" localSheetId="4" name="_xlnm._FilterDatabase" vbProcedure="false">'Danh mục lỗi'!$A$4:$P$222</definedName>
    <definedName function="false" hidden="true" localSheetId="5" name="_xlnm._FilterDatabase" vbProcedure="false">'Đối chiếu FIXERROR'!$A$4:$K$63</definedName>
    <definedName function="false" hidden="false" localSheetId="0" name="_xlnm.Print_Area" vbProcedure="false">'Tổng quan hệ thống'!$A$1:$G$155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<sst xmlns="http://schemas.openxmlformats.org/spreadsheetml/2006/main" count="3263" uniqueCount="1116">
  <si>
    <t xml:space="preserve">BÁO CÁO TỔNG QUAN HỆ THỐNG TIỀN GIÁM ĐỊNH XML3176</t>
  </si>
  <si>
    <t xml:space="preserve">Kỳ báo cáo: hồ sơ BHYT ra viện 01/10–15/10/2026 tại cơ sở 01929 và 37470 (dữ liệu nạp lại ngày 16/10/2026). Số liệu chốt ngày 16/10/2026 từ CSDL thật (truy vấn chỉ đọc); bộ kiểm commit 63e21fa8. Các ô tính từ sheet khác là công thức, tự cập nhật khi sheet nguồn thay đổi.</t>
  </si>
  <si>
    <t xml:space="preserve">1. Hệ thống Tiền giám định làm gì</t>
  </si>
  <si>
    <t xml:space="preserve">• Mục đích: kiểm tra hồ sơ XML theo Quyết định 3176/QĐ-BYT TRƯỚC khi gửi cổng giám định BHXH, phát hiện sai sót để sửa tại nguồn (HIS, PACS/LIS, danh mục, khoa/phòng), giảm hồ sơ bị BHXH từ chối hoặc xuất toán.</t>
  </si>
  <si>
    <t xml:space="preserve">• Luồng xử lý: (1) Nạp XML từ HIS → (2) Kiểm tự động từng hồ sơ: 12 bảng XML và kiểm tổng thể toàn hồ sơ (XMLComplete) → (3) Có lỗi CHẶN GỬI: hồ sơ dừng, đơn vị sửa rồi nạp lại; chỉ có CẢNH BÁO: hồ sơ đi tiếp → (4) Xuất XML, ký số → (5) Gửi cổng giám định BHXH.</t>
  </si>
  <si>
    <t xml:space="preserve">• Nguyên tắc: không tự sửa dữ liệu trên bản gửi cổng (khác hệ thống FIXERROR – xem sheet "Đối chiếu FIXERROR"); mỗi mã lỗi gán một đơn vị chủ trì và đơn vị phối hợp để giao việc (sheet "Danh mục lỗi").</t>
  </si>
  <si>
    <t xml:space="preserve">2. Quy mô dữ liệu và danh mục</t>
  </si>
  <si>
    <t xml:space="preserve">Chỉ tiêu</t>
  </si>
  <si>
    <t xml:space="preserve">Giá trị</t>
  </si>
  <si>
    <t xml:space="preserve">Ghi chú</t>
  </si>
  <si>
    <t xml:space="preserve">Hồ sơ trong kỳ</t>
  </si>
  <si>
    <t xml:space="preserve">Cơ sở 01929: 18.845; cơ sở 37470: 5.122</t>
  </si>
  <si>
    <t xml:space="preserve">Dòng chi tiết được kiểm</t>
  </si>
  <si>
    <t xml:space="preserve">Thuốc XML2: 560.375; DVKT/VTYT XML3: 955.173; cận lâm sàng XML4: 2.091.705; diễn biến XML5: 209.318</t>
  </si>
  <si>
    <t xml:space="preserve">Chi phí BHYT thanh toán (T_BHTT, tỷ đồng)</t>
  </si>
  <si>
    <t xml:space="preserve">Tổng T_BHTT trên XML1 của các hồ sơ trong kỳ</t>
  </si>
  <si>
    <t xml:space="preserve">Mã lỗi trong danh mục</t>
  </si>
  <si>
    <t xml:space="preserve">Đang kiểm 215 mã, trong đó 137 mã chặn gửi; còn lại đã tắt hoặc đã gộp vào mã mới</t>
  </si>
  <si>
    <t xml:space="preserve">Mã lỗi phát sinh trong kỳ</t>
  </si>
  <si>
    <t xml:space="preserve">Đếm từ sheet "Danh mục lỗi"</t>
  </si>
  <si>
    <t xml:space="preserve">Danh mục DVKT</t>
  </si>
  <si>
    <t xml:space="preserve">Cơ sở 01929: 8.595; cơ sở 37470: 15.723</t>
  </si>
  <si>
    <t xml:space="preserve">Danh mục thuốc</t>
  </si>
  <si>
    <t xml:space="preserve">Danh mục VTYT</t>
  </si>
  <si>
    <t xml:space="preserve">Danh mục nhân viên y tế (NVYT)</t>
  </si>
  <si>
    <t xml:space="preserve">Danh mục trang thiết bị (mã máy)</t>
  </si>
  <si>
    <t xml:space="preserve">DVKT bắt buộc có mã máy</t>
  </si>
  <si>
    <t xml:space="preserve">Căn cứ quy tắc thiếu mã máy từ 16/10/2026</t>
  </si>
  <si>
    <t xml:space="preserve">Cặp vật phẩm kèm DVKT</t>
  </si>
  <si>
    <t xml:space="preserve">Thuốc/VTYT phải kèm đúng DVKT mẹ (quy tắc R1/R2)</t>
  </si>
  <si>
    <t xml:space="preserve">DVKT bắt buộc kèm vật phẩm</t>
  </si>
  <si>
    <t xml:space="preserve">Quy tắc R3</t>
  </si>
  <si>
    <t xml:space="preserve">Danh mục cơ sở KCB</t>
  </si>
  <si>
    <t xml:space="preserve">Danh mục ICD-10</t>
  </si>
  <si>
    <t xml:space="preserve">Tốc độ kiểm</t>
  </si>
  <si>
    <t xml:space="preserve">≈ 0,36 giây/hồ sơ</t>
  </si>
  <si>
    <t xml:space="preserve">Đo trên 200 hồ sơ mẫu ngày 15/10/2026; mỗi hồ sơ một lượt kiểm; sửa danh mục có hiệu lực ngay, không cần khởi động lại</t>
  </si>
  <si>
    <t xml:space="preserve">3. Kết quả kiểm trong kỳ</t>
  </si>
  <si>
    <t xml:space="preserve">Trạng thái hồ sơ</t>
  </si>
  <si>
    <t xml:space="preserve">Số hồ sơ</t>
  </si>
  <si>
    <t xml:space="preserve">% hồ sơ</t>
  </si>
  <si>
    <t xml:space="preserve">T_BHTT (tỷ đồng)</t>
  </si>
  <si>
    <t xml:space="preserve">% T_BHTT</t>
  </si>
  <si>
    <t xml:space="preserve">Ý nghĩa</t>
  </si>
  <si>
    <t xml:space="preserve">Tổng hồ sơ</t>
  </si>
  <si>
    <t xml:space="preserve">Không có lỗi</t>
  </si>
  <si>
    <t xml:space="preserve">Đạt hoàn toàn</t>
  </si>
  <si>
    <t xml:space="preserve">Chỉ có cảnh báo</t>
  </si>
  <si>
    <t xml:space="preserve">Được xuất, ký, gửi nhưng có nguy cơ BHXH giảm trừ</t>
  </si>
  <si>
    <t xml:space="preserve">Bị chặn gửi (≥ 1 lỗi chặn)</t>
  </si>
  <si>
    <t xml:space="preserve">Không được xuất/ký/gửi đến khi sửa và nạp lại</t>
  </si>
  <si>
    <t xml:space="preserve">Đã xuất XML</t>
  </si>
  <si>
    <t xml:space="preserve">Khớp số hồ sơ không bị chặn</t>
  </si>
  <si>
    <t xml:space="preserve">Đã ký số</t>
  </si>
  <si>
    <t xml:space="preserve">Đã gửi cổng qua Tiền giám định</t>
  </si>
  <si>
    <t xml:space="preserve">Chưa gửi hồ sơ nào của kỳ này; lần gửi cổng gần nhất qua Tiền giám định là 29/09/2026</t>
  </si>
  <si>
    <t xml:space="preserve">4. Theo cơ sở KCB</t>
  </si>
  <si>
    <t xml:space="preserve">Cơ sở</t>
  </si>
  <si>
    <t xml:space="preserve">Bị chặn</t>
  </si>
  <si>
    <t xml:space="preserve">% bị chặn</t>
  </si>
  <si>
    <t xml:space="preserve">Không lỗi</t>
  </si>
  <si>
    <t xml:space="preserve">T_BHTT hồ sơ bị chặn (tỷ đồng)</t>
  </si>
  <si>
    <t xml:space="preserve">Cơ sở 01929</t>
  </si>
  <si>
    <t xml:space="preserve">Cơ sở 37470</t>
  </si>
  <si>
    <t xml:space="preserve">Cộng</t>
  </si>
  <si>
    <t xml:space="preserve">5. Theo loại khám chữa bệnh (MA_LOAI_KCB)</t>
  </si>
  <si>
    <t xml:space="preserve">Loại KCB</t>
  </si>
  <si>
    <t xml:space="preserve">01 – Khám bệnh</t>
  </si>
  <si>
    <t xml:space="preserve">02 – Điều trị ngoại trú</t>
  </si>
  <si>
    <t xml:space="preserve">03 – Điều trị nội trú</t>
  </si>
  <si>
    <t xml:space="preserve">04 – Điều trị nội trú ban ngày</t>
  </si>
  <si>
    <t xml:space="preserve">Mã 08</t>
  </si>
  <si>
    <t xml:space="preserve">09 – Điều trị nội trú dưới 4 giờ</t>
  </si>
  <si>
    <t xml:space="preserve">6. Theo bảng XML</t>
  </si>
  <si>
    <t xml:space="preserve">Bảng</t>
  </si>
  <si>
    <t xml:space="preserve">Mã lỗi đang kiểm</t>
  </si>
  <si>
    <t xml:space="preserve">Trong đó chặn gửi</t>
  </si>
  <si>
    <t xml:space="preserve">Hồ sơ có lỗi</t>
  </si>
  <si>
    <t xml:space="preserve">Nội dung bảng</t>
  </si>
  <si>
    <t xml:space="preserve">XML1</t>
  </si>
  <si>
    <t xml:space="preserve">Thông tin tổng hợp hồ sơ, hành chính, chi phí</t>
  </si>
  <si>
    <t xml:space="preserve">XML2</t>
  </si>
  <si>
    <t xml:space="preserve">Thuốc</t>
  </si>
  <si>
    <t xml:space="preserve">XML3</t>
  </si>
  <si>
    <t xml:space="preserve">Dịch vụ kỹ thuật và vật tư y tế</t>
  </si>
  <si>
    <t xml:space="preserve">XML4</t>
  </si>
  <si>
    <t xml:space="preserve">Kết quả cận lâm sàng</t>
  </si>
  <si>
    <t xml:space="preserve">XML5</t>
  </si>
  <si>
    <t xml:space="preserve">Diễn biến lâm sàng</t>
  </si>
  <si>
    <t xml:space="preserve">XML7</t>
  </si>
  <si>
    <t xml:space="preserve">Giấy ra viện</t>
  </si>
  <si>
    <t xml:space="preserve">XML8</t>
  </si>
  <si>
    <t xml:space="preserve">Tóm tắt hồ sơ bệnh án</t>
  </si>
  <si>
    <t xml:space="preserve">XML9</t>
  </si>
  <si>
    <t xml:space="preserve">Giấy chứng sinh</t>
  </si>
  <si>
    <t xml:space="preserve">XML11</t>
  </si>
  <si>
    <t xml:space="preserve">Giấy chứng nhận nghỉ việc hưởng BHXH</t>
  </si>
  <si>
    <t xml:space="preserve">XML13</t>
  </si>
  <si>
    <t xml:space="preserve">Giấy chuyển tuyến</t>
  </si>
  <si>
    <t xml:space="preserve">XML14</t>
  </si>
  <si>
    <t xml:space="preserve">Giấy hẹn khám lại</t>
  </si>
  <si>
    <t xml:space="preserve">XMLComplete</t>
  </si>
  <si>
    <t xml:space="preserve">Kiểm tổng thể: đối chiếu chéo giữa các bảng, NVYT, ngày giường, mức hưởng, vật phẩm kèm DVKT</t>
  </si>
  <si>
    <t xml:space="preserve">7. Theo đơn vị chủ trì xử lý (tự lấy từ sheet "Tổng hợp")</t>
  </si>
  <si>
    <t xml:space="preserve">Đơn vị chủ trì</t>
  </si>
  <si>
    <t xml:space="preserve">Số mã lỗi phát sinh</t>
  </si>
  <si>
    <t xml:space="preserve">Lượt hồ sơ-lỗi</t>
  </si>
  <si>
    <t xml:space="preserve">Lượt hồ sơ-lỗi chặn gửi</t>
  </si>
  <si>
    <t xml:space="preserve">Mã lỗi lớn nhất</t>
  </si>
  <si>
    <t xml:space="preserve">"Lượt hồ sơ-lỗi" cộng số hồ sơ của từng mã, một hồ sơ nhiều lỗi được đếm nhiều lần – dùng để so sánh khối lượng việc giữa các đơn vị.</t>
  </si>
  <si>
    <t xml:space="preserve">8. Mười lỗi CHẶN GỬI nhiều hồ sơ nhất</t>
  </si>
  <si>
    <t xml:space="preserve">Mã lỗi</t>
  </si>
  <si>
    <t xml:space="preserve">Tên lỗi</t>
  </si>
  <si>
    <t xml:space="preserve">9. Mười lỗi CẢNH BÁO nhiều hồ sơ nhất</t>
  </si>
  <si>
    <t xml:space="preserve">10. Chuyển biến sau khi sửa và nạp lại (cùng 23.254 hồ sơ có trong cả hai lần kiểm)</t>
  </si>
  <si>
    <t xml:space="preserve">Trước (kiểm sáng 16/10)</t>
  </si>
  <si>
    <t xml:space="preserve">Sau (nạp lại 16/10)</t>
  </si>
  <si>
    <t xml:space="preserve">Thay đổi</t>
  </si>
  <si>
    <t xml:space="preserve">Hồ sơ bị chặn gửi</t>
  </si>
  <si>
    <t xml:space="preserve">Hồ sơ đã sửa nguồn và nạp lại</t>
  </si>
  <si>
    <t xml:space="preserve">Hồ sơ không lỗi</t>
  </si>
  <si>
    <t xml:space="preserve">XML4_INFO_ERROR_NGAY_KQ</t>
  </si>
  <si>
    <t xml:space="preserve">Giảm rõ</t>
  </si>
  <si>
    <t xml:space="preserve">XMLComplete_NVYT_THIEU</t>
  </si>
  <si>
    <t xml:space="preserve">Giảm</t>
  </si>
  <si>
    <t xml:space="preserve">XMLComplete_NVYT_SAI_DINH_DANG</t>
  </si>
  <si>
    <t xml:space="preserve">XML3_MA_DICH_VU_TB_CO_DON_GIA</t>
  </si>
  <si>
    <t xml:space="preserve">Hết lỗi</t>
  </si>
  <si>
    <t xml:space="preserve">XML3_INVALID_NGAY_KQ</t>
  </si>
  <si>
    <t xml:space="preserve">TĂNG gần gấp đôi – cần rà dữ liệu ngày kết quả trong lần xuất mới</t>
  </si>
  <si>
    <t xml:space="preserve">Dòng theo mã lỗi lấy từ sheet "Danh mục lỗi": cột "Trước" là cột P (chỉ gồm hồ sơ có trong lần kiểm sáng), cột "Sau" gồm cả 713 hồ sơ mới nạp lần đầu nên có thể nhích lên do thêm hồ sơ.</t>
  </si>
  <si>
    <t xml:space="preserve">11. Cải tiến hệ thống trong kỳ</t>
  </si>
  <si>
    <t xml:space="preserve">Ngày</t>
  </si>
  <si>
    <t xml:space="preserve">Nội dung</t>
  </si>
  <si>
    <t xml:space="preserve">Tác dụng</t>
  </si>
  <si>
    <t xml:space="preserve">12/10/2026</t>
  </si>
  <si>
    <t xml:space="preserve">Sửa luật kiểm hàm lượng và thông tin thầu thuốc</t>
  </si>
  <si>
    <t xml:space="preserve">Hết báo nhầm hàm lượng thành sai thầu – nguyên nhân của 85% chênh lệch khi đối chiếu giảm trừ với cổng ngày 12/10</t>
  </si>
  <si>
    <t xml:space="preserve">13/10/2026</t>
  </si>
  <si>
    <t xml:space="preserve">Chứng từ điện tử: chặn ký/gửi khi thiếu số CCCD hoặc mã thẻ sai độ dài; màn quản trị vật phẩm kèm DVKT</t>
  </si>
  <si>
    <t xml:space="preserve">Chặn sớm hồ sơ chắc chắn bị cổng từ chối</t>
  </si>
  <si>
    <t xml:space="preserve">14/10/2026</t>
  </si>
  <si>
    <t xml:space="preserve">Đối chiếu mã DVKT có hậu tố _XX; quy tắc R1–R3 thuốc/VTYT kèm DVKT mẹ</t>
  </si>
  <si>
    <t xml:space="preserve">Bỏ báo oan mã DVKT; phát hiện vật phẩm khai lệch DVKT</t>
  </si>
  <si>
    <t xml:space="preserve">15/10/2026</t>
  </si>
  <si>
    <t xml:space="preserve">Gộp 34 mã lỗi NVYT thành 3 mã; gộp mã/tên chỉ số trống; lỗi chồng giờ PTTT và thời gian thực hiện dài bất thường; bỏ 16 chỗ báo trùng giữa quy tắc cũ và mới</t>
  </si>
  <si>
    <t xml:space="preserve">Danh sách lỗi gọn, mỗi sai sót báo một lần, dễ giao việc</t>
  </si>
  <si>
    <t xml:space="preserve">Tăng tốc kiểm: bộ đệm danh mục, chỉ mục CSDL, một lượt kiểm mỗi hồ sơ</t>
  </si>
  <si>
    <t xml:space="preserve">309 → 256 ms/hồ sơ; truy vấn kiểm tổng thể giảm ~70%</t>
  </si>
  <si>
    <t xml:space="preserve">16/10/2026</t>
  </si>
  <si>
    <t xml:space="preserve">Thiếu mã máy căn cứ danh mục DVKT bắt buộc có mã máy (thay lọc theo nhóm 1/2/3)</t>
  </si>
  <si>
    <t xml:space="preserve">Kiểm đúng phạm vi BHXH yêu cầu; số hồ sơ thiếu mã máy tăng</t>
  </si>
  <si>
    <t xml:space="preserve">12. Việc cần làm theo đơn vị (tự lấy từ sheet "Trọng tâm theo đơn vị")</t>
  </si>
  <si>
    <t xml:space="preserve">Đơn vị</t>
  </si>
  <si>
    <t xml:space="preserve">Vấn đề / số hồ sơ</t>
  </si>
  <si>
    <t xml:space="preserve">Việc cần làm</t>
  </si>
  <si>
    <t xml:space="preserve">13. Các sheet trong tệp</t>
  </si>
  <si>
    <t xml:space="preserve">Sheet</t>
  </si>
  <si>
    <t xml:space="preserve">Dùng khi</t>
  </si>
  <si>
    <t xml:space="preserve">Tổng quan hệ thống</t>
  </si>
  <si>
    <t xml:space="preserve">Sheet này: hệ thống, quy mô, kết quả, chuyển biến, việc cần làm</t>
  </si>
  <si>
    <t xml:space="preserve">Báo cáo lãnh đạo</t>
  </si>
  <si>
    <t xml:space="preserve">Tổng hợp</t>
  </si>
  <si>
    <t xml:space="preserve">Số mã lỗi và lượt hồ sơ-lỗi theo đơn vị chủ trì và theo nhóm nghiệp vụ/kỹ thuật</t>
  </si>
  <si>
    <t xml:space="preserve">So sánh khối lượng việc giữa các đơn vị</t>
  </si>
  <si>
    <t xml:space="preserve">Trọng tâm theo đơn vị</t>
  </si>
  <si>
    <t xml:space="preserve">Vấn đề chính, số hồ sơ và việc cần làm của từng đơn vị</t>
  </si>
  <si>
    <t xml:space="preserve">Giao việc trong cuộc họp</t>
  </si>
  <si>
    <t xml:space="preserve">Tài khoản thay CCHN</t>
  </si>
  <si>
    <t xml:space="preserve">Tài khoản máy/tên đăng nhập/số định danh bị gửi thay mã CCHN</t>
  </si>
  <si>
    <t xml:space="preserve">Làm việc với CNTT và hãng PACS/LIS</t>
  </si>
  <si>
    <t xml:space="preserve">Danh mục lỗi</t>
  </si>
  <si>
    <t xml:space="preserve">Toàn bộ mã lỗi: chặn gửi, số hồ sơ, ví dụ thực tế, đơn vị chủ trì/phối hợp, hướng xử lý</t>
  </si>
  <si>
    <t xml:space="preserve">Tra cứu một mã lỗi cụ thể</t>
  </si>
  <si>
    <t xml:space="preserve">Đối chiếu FIXERROR</t>
  </si>
  <si>
    <t xml:space="preserve">Quy tắc tự sửa của hệ thống khác ↔ mã lỗi Tiền giám định tương ứng; cột Còn dùng/Ghi chú do team tool sửa XML cập nhật</t>
  </si>
  <si>
    <t xml:space="preserve">Rà soát việc tự sửa dữ liệu trên bản gửi</t>
  </si>
  <si>
    <t xml:space="preserve">Nguồn số liệu, cách đọc và quy ước phân loại</t>
  </si>
  <si>
    <t xml:space="preserve">Khi cần giải thích số liệu</t>
  </si>
  <si>
    <t xml:space="preserve">TỔNG HỢP LỖI TIỀN GIÁM ĐỊNH THEO ĐƠN VỊ VÀ NHÓM LỖI</t>
  </si>
  <si>
    <t xml:space="preserve">Tự tính từ sheet "Danh mục lỗi" (23.967 hồ sơ BHYT ra viện 01/10–15/10/2026 (nạp lại ngày 16/10/2026)). Chỉ đếm mã lỗi đã phát sinh (Số hồ sơ &gt; 0). "Lượt hồ sơ-lỗi" = tổng số hồ sơ của các mã, một hồ sơ nhiều lỗi được đếm nhiều lần.</t>
  </si>
  <si>
    <t xml:space="preserve">1. Theo đơn vị chủ trì</t>
  </si>
  <si>
    <t xml:space="preserve">Phòng BHYT</t>
  </si>
  <si>
    <t xml:space="preserve">XML3_OVERLAPPING_BED_USAGE (8.117 HS)</t>
  </si>
  <si>
    <t xml:space="preserve">CNTT</t>
  </si>
  <si>
    <t xml:space="preserve">XML4_CHI_SO_EMPTY (17.415 HS)</t>
  </si>
  <si>
    <t xml:space="preserve">Khoa Dược</t>
  </si>
  <si>
    <t xml:space="preserve">XML2_INVALID_DANG_BAO_CHE (7.033 HS)</t>
  </si>
  <si>
    <t xml:space="preserve">Phòng VT-TBYT</t>
  </si>
  <si>
    <t xml:space="preserve">XML3_INFO_ERROR_MA_MAY_NOT_FOUND (18.854 HS)</t>
  </si>
  <si>
    <t xml:space="preserve">Phòng KHTH</t>
  </si>
  <si>
    <t xml:space="preserve">XML3_INVALID_MA_DICH_VU (7.344 HS)</t>
  </si>
  <si>
    <t xml:space="preserve">Phòng TCKT</t>
  </si>
  <si>
    <t xml:space="preserve">XML3_INVALID_APPROVED_DON_GIA_BH (232 HS)</t>
  </si>
  <si>
    <t xml:space="preserve">Phòng TCCB</t>
  </si>
  <si>
    <t xml:space="preserve">XMLComplete_NVYT_KHONG_CO_TRONG_DM (10.455 HS)</t>
  </si>
  <si>
    <t xml:space="preserve">Khoa lâm sàng</t>
  </si>
  <si>
    <t xml:space="preserve">XML8_TOMTAT_KQ_TOO_SHORT (7.258 HS)</t>
  </si>
  <si>
    <t xml:space="preserve">Tiếp đón</t>
  </si>
  <si>
    <t xml:space="preserve">XML1_ADMIN_INFO_ERROR_SO_CCCD (420 HS)</t>
  </si>
  <si>
    <t xml:space="preserve">Đơn vị PM Tiền giám định</t>
  </si>
  <si>
    <t xml:space="preserve">(không còn lỗi)</t>
  </si>
  <si>
    <t xml:space="preserve">Tổng</t>
  </si>
  <si>
    <t xml:space="preserve">2. Theo nhóm lỗi (nghiệp vụ / kỹ thuật)</t>
  </si>
  <si>
    <t xml:space="preserve">Phân nhóm</t>
  </si>
  <si>
    <t xml:space="preserve">Nghiệp vụ – Chuyên môn lâm sàng</t>
  </si>
  <si>
    <t xml:space="preserve">Bác sĩ/điều dưỡng nhập thiếu, sai nội dung chuyên môn</t>
  </si>
  <si>
    <t xml:space="preserve">Nghiệp vụ – Quy định BHYT</t>
  </si>
  <si>
    <t xml:space="preserve">Khai sai quy định thanh toán BHYT (đối tượng, mức hưởng, ngày giường, công khám)</t>
  </si>
  <si>
    <t xml:space="preserve">Nghiệp vụ – Hành chính, tiếp đón</t>
  </si>
  <si>
    <t xml:space="preserve">Tiếp đón nhập thiếu thông tin hành chính</t>
  </si>
  <si>
    <t xml:space="preserve">Nghiệp vụ – Danh mục</t>
  </si>
  <si>
    <t xml:space="preserve">Danh mục thuốc, VTYT, DVKT, NVYT, TTB, giá chưa khớp danh mục BHXH phê duyệt</t>
  </si>
  <si>
    <t xml:space="preserve">Kỹ thuật – HIS</t>
  </si>
  <si>
    <t xml:space="preserve">HIS không bắt buộc nhập, tính sai, xuất sai định dạng</t>
  </si>
  <si>
    <t xml:space="preserve">Kỹ thuật – Tích hợp HIS–PACS</t>
  </si>
  <si>
    <t xml:space="preserve">PACS/RIS trả kết quả thiếu thông tin về HIS</t>
  </si>
  <si>
    <t xml:space="preserve">Kỹ thuật – Tích hợp HIS–LIS</t>
  </si>
  <si>
    <t xml:space="preserve">LIS trả kết quả thiếu mã/tên chỉ số, giá trị</t>
  </si>
  <si>
    <t xml:space="preserve">Kỹ thuật – Tích hợp HIS–PACS/LIS</t>
  </si>
  <si>
    <t xml:space="preserve">PACS và LIS cùng mắc: tài khoản máy thay mã CCHN, thiếu người thực hiện, mã máy, thời gian KQ</t>
  </si>
  <si>
    <t xml:space="preserve">Kỹ thuật – Phần mềm Tiền giám định</t>
  </si>
  <si>
    <t xml:space="preserve">Thiếu sót của chính phần mềm kiểm (danh mục CSKCB, mã thừa)</t>
  </si>
  <si>
    <t xml:space="preserve">Cộng Nghiệp vụ</t>
  </si>
  <si>
    <t xml:space="preserve">Cộng Kỹ thuật</t>
  </si>
  <si>
    <t xml:space="preserve">TRỌNG TÂM CẦN XỬ LÝ THEO TỪNG ĐƠN VỊ (để báo cáo)</t>
  </si>
  <si>
    <t xml:space="preserve">Số liệu là số hồ sơ có lỗi trong 23.967 hồ sơ BHYT ra viện 01/10–15/10/2026 (nạp lại ngày 16/10/2026) (bộ kiểm commit 63e21fa8). Chi tiết từng mã ở sheet "Danh mục lỗi".</t>
  </si>
  <si>
    <t xml:space="preserve">STT</t>
  </si>
  <si>
    <t xml:space="preserve">Nhóm</t>
  </si>
  <si>
    <t xml:space="preserve">Vấn đề</t>
  </si>
  <si>
    <t xml:space="preserve">Mã lỗi / số hồ sơ</t>
  </si>
  <si>
    <t xml:space="preserve">CNTT + hãng PACS/LIS</t>
  </si>
  <si>
    <t xml:space="preserve">PACS/LIS trả TÀI KHOẢN MÁY thay mã CCHN người đọc kết quả: vietrad 2.460 HS, mitalab 866, sys 66; thêm tên đăng nhập cá nhân (pqa1, LQH, ntdh3…). Tổng ~3.274 HS</t>
  </si>
  <si>
    <t xml:space="preserve">XMLComplete_NVYT_SAI_DINH_DANG (BS đọc KQ XML4): 3.274 HS</t>
  </si>
  <si>
    <t xml:space="preserve">Kết nối PACS/LIS ánh xạ tài khoản → mã CCHN; cấm ký kết quả bằng tài khoản dùng chung</t>
  </si>
  <si>
    <t xml:space="preserve">CNTT + hãng LIS (Mitalab)</t>
  </si>
  <si>
    <t xml:space="preserve">LIS trả chỉ số thiếu mã và tên chỉ số, 91% ở Tổng phân tích tế bào máu 22.0121.1369 (còn lại: đường máu mao mạch 01.0281.1510, khí máu 23.0103.1531)</t>
  </si>
  <si>
    <t xml:space="preserve">XML4_CHI_SO_EMPTY: 17.415 HS</t>
  </si>
  <si>
    <t xml:space="preserve">Bổ sung ánh xạ chỉ số trên LIS cho các xét nghiệm bị lỗi</t>
  </si>
  <si>
    <t xml:space="preserve">HIS gửi số CCCD/mã BHXH (12 số) vào NGUOI_THUC_HIEN thay vì mã CCHN: 54 người, ~1.367 HS (4 người có trong DM NVYT theo số định danh)</t>
  </si>
  <si>
    <t xml:space="preserve">XMLComplete_NVYT_SAI_DINH_DANG (phần số định danh)</t>
  </si>
  <si>
    <t xml:space="preserve">Xuất mã CCHN/GPHN, không xuất số định danh</t>
  </si>
  <si>
    <t xml:space="preserve">Kỹ thuật – HIS / thiết bị</t>
  </si>
  <si>
    <t xml:space="preserve">Giờ thực hiện DVKT ghi theo lúc bấm: &lt; 3 phút, giờ thực hiện = giờ kết quả (Điện tim, Đường máu mao mạch tại giường)</t>
  </si>
  <si>
    <t xml:space="preserve">UNDER_3MIN 4.865; NGAY_TH_YL = NGAY_KQ 6.758; dài bất thường (mới, cảnh báo) 438 HS</t>
  </si>
  <si>
    <t xml:space="preserve">Lấy giờ bắt đầu/kết thúc thật từ thiết bị/phiếu thực hiện</t>
  </si>
  <si>
    <t xml:space="preserve">Thiếu người thực hiện, mã máy, thủ trưởng đơn vị khi xuất XML (HIS không bắt buộc / chưa cấu hình người ký). Từ 15/10 quy tắc thiếu mã máy căn cứ danh mục DVKT cần mã máy (thay lọc theo nhóm 1/2/3) nên số hồ sơ thiếu mã máy tăng</t>
  </si>
  <si>
    <t xml:space="preserve">Người TH trống 3.105; mã máy trống 9.985; thủ trưởng đơn vị 373 HS</t>
  </si>
  <si>
    <t xml:space="preserve">Bắt buộc nhập trên HIS; cấu hình người ký thủ trưởng cho từng loại giấy</t>
  </si>
  <si>
    <t xml:space="preserve">Danh mục DVKT cơ sở 01929 thiếu (8.595 dòng so với 15.723 của 37470), nhiều mã CĐHA (X-quang ngực 18.0119.0028); tên DVKT khác tên phê duyệt</t>
  </si>
  <si>
    <t xml:space="preserve">INVALID_MA_DICH_VU 7.344; XML4 mã DV 7.332; sai tên 858 HS</t>
  </si>
  <si>
    <t xml:space="preserve">Nhập đủ danh mục DVKT đã phê duyệt cho 01929</t>
  </si>
  <si>
    <t xml:space="preserve">Phòng TCCB + Phòng BHYT</t>
  </si>
  <si>
    <t xml:space="preserve">NVYT (CCHN) chưa có/chưa được duyệt trên cổng BHXH; trạng thái duyệt trên cổng đổi từ 08/10</t>
  </si>
  <si>
    <t xml:space="preserve">XMLComplete_NVYT_KHONG_CO_TRONG_DM 10.455 HS: người TH XML3 9.714; BS đọc KQ XML4 9.292; BS chỉ định XML3 1.535; XML5 1.159; XML2 1.134; XML14 407</t>
  </si>
  <si>
    <t xml:space="preserve">Rà soát, đăng ký bổ sung NVYT lên cổng; cập nhật DM NVYT vào phần mềm</t>
  </si>
  <si>
    <t xml:space="preserve">Giá DVKT trên HIS cao hơn giá phê duyệt (chưa chặn gửi nhưng BHXH sẽ xuất toán phần chênh)</t>
  </si>
  <si>
    <t xml:space="preserve">XML3_INVALID_APPROVED_DON_GIA_BH: 232 HS</t>
  </si>
  <si>
    <t xml:space="preserve">Đối chiếu bảng giá</t>
  </si>
  <si>
    <t xml:space="preserve">Danh mục trang thiết bị (mã máy) chưa đủ; VTYT ngoài danh mục / sai tên / vượt giá</t>
  </si>
  <si>
    <t xml:space="preserve">Mã máy không có 18.854; VTYT ngoài DM 72; sai tên 475 HS</t>
  </si>
  <si>
    <t xml:space="preserve">Cập nhật danh mục TTB, VTYT theo thầu</t>
  </si>
  <si>
    <t xml:space="preserve">Thuốc lệch danh mục được duyệt: dạng bào chế, ĐVT, đường dùng, tên, mã, thầu, SĐK, hàm lượng, giá</t>
  </si>
  <si>
    <t xml:space="preserve">Dạng bào chế 7.033; ĐVT: đã tắt kiểm 15/10; đường dùng 2.231; mã 396; tên 2.089 HS</t>
  </si>
  <si>
    <t xml:space="preserve">Đối chiếu, sửa danh mục thuốc HIS (luật hàm lượng/thầu đã sửa 12/10 – số liệu trước đó có báo nhầm)</t>
  </si>
  <si>
    <t xml:space="preserve">Ngày giường (trùng giường, thiếu so với TT39, chưa khai ngày cộng thêm), thừa công khám nội trú, mức hưởng vượt quyền lợi thẻ, PT lần 2 thanh toán 100%</t>
  </si>
  <si>
    <t xml:space="preserve">Trùng giường 8.117; ngày cộng TT39 1.264; thừa công khám 480; mức hưởng 514 HS</t>
  </si>
  <si>
    <t xml:space="preserve">Rà quy tắc ngày giường/công khám/mức hưởng trên HIS cùng CNTT; giám sát tiếp đón</t>
  </si>
  <si>
    <t xml:space="preserve">Khoa lâm sàng (qua Phòng KHTH)</t>
  </si>
  <si>
    <t xml:space="preserve">Bác sĩ chỉ định = người thực hiện; tóm tắt kết quả ghi "xem hs BA"; diễn biến sao chép; liều dùng sai định dạng; thiếu PP điều trị</t>
  </si>
  <si>
    <t xml:space="preserve">Cùng BS 4.779; tóm tắt ngắn 7.258; diễn biến trùng 1.583 HS</t>
  </si>
  <si>
    <t xml:space="preserve">Phổ biến quy định, kiểm tra hồ sơ trước khi khoá bệnh án</t>
  </si>
  <si>
    <t xml:space="preserve">Nghiệp vụ – Hành chính</t>
  </si>
  <si>
    <t xml:space="preserve">Thiếu CCCD, dân tộc; mã nơi đi/đến gõ sai</t>
  </si>
  <si>
    <t xml:space="preserve">CCCD 420 HS</t>
  </si>
  <si>
    <t xml:space="preserve">Nhập đủ tại tiếp đón</t>
  </si>
  <si>
    <t xml:space="preserve">Kỹ thuật – Phần mềm</t>
  </si>
  <si>
    <t xml:space="preserve">Cơ sở 37470 từng chưa có trong danh mục CSKCB của phần mềm kiểm → chặn oan. ĐÃ XỬ LÝ: kiểm lại 16/10/2026 không còn hồ sơ lỗi</t>
  </si>
  <si>
    <t xml:space="preserve">XML1_ADMIN_INFO_ERROR_MA_CSKCB_NOT_FOUND: 0 HS</t>
  </si>
  <si>
    <t xml:space="preserve">Đã bổ sung 37470 vào DM CSKCB — không cần xử lý thêm</t>
  </si>
  <si>
    <t xml:space="preserve">MÃ NGƯỜI ĐỌC KẾT QUẢ / NGƯỜI THỰC HIỆN KHÔNG PHẢI MÃ CCHN</t>
  </si>
  <si>
    <t xml:space="preserve">Tách từ XMLComplete_NVYT_SAI_DINH_DANG (từ 15/10/2026 thay XML4_INFO_ERROR_MA_BS_DOC_KQ_NOT_FOUND và XML3_INFO_ERROR_NGUOI_THUC_HIEN_NOT_FOUND), 23.967 hồ sơ BHYT ra viện 01/10–15/10/2026 (nạp lại ngày 16/10/2026).</t>
  </si>
  <si>
    <t xml:space="preserve">Giá trị gửi lên</t>
  </si>
  <si>
    <t xml:space="preserve">Trường</t>
  </si>
  <si>
    <t xml:space="preserve">Loại</t>
  </si>
  <si>
    <t xml:space="preserve">Nguồn</t>
  </si>
  <si>
    <t xml:space="preserve">Dịch vụ điển hình</t>
  </si>
  <si>
    <t xml:space="preserve">Xử lý</t>
  </si>
  <si>
    <t xml:space="preserve">vietrad</t>
  </si>
  <si>
    <t xml:space="preserve">MA_BS_DOC_KQ (XML4)</t>
  </si>
  <si>
    <t xml:space="preserve">Tài khoản hệ thống PACS</t>
  </si>
  <si>
    <t xml:space="preserve">Tích hợp HIS–PACS</t>
  </si>
  <si>
    <t xml:space="preserve">Siêu âm ổ bụng 18.0015.0001; X-quang ngực thẳng 18.0119.0028</t>
  </si>
  <si>
    <t xml:space="preserve">PACS trả mã CCHN của bác sĩ ký kết quả</t>
  </si>
  <si>
    <t xml:space="preserve">mitalab</t>
  </si>
  <si>
    <t xml:space="preserve">Tài khoản hệ thống LIS</t>
  </si>
  <si>
    <t xml:space="preserve">Tích hợp HIS–LIS</t>
  </si>
  <si>
    <t xml:space="preserve">Tổng phân tích tế bào máu 22.0121.1369; Khí máu 23.0103.1531; Tủy đồ 22.0129.1415</t>
  </si>
  <si>
    <t xml:space="preserve">LIS trả mã CCHN của người duyệt kết quả</t>
  </si>
  <si>
    <t xml:space="preserve">sys</t>
  </si>
  <si>
    <t xml:space="preserve">Tài khoản quản trị</t>
  </si>
  <si>
    <t xml:space="preserve">Siêu âm ổ bụng, Siêu âm tuyến giáp</t>
  </si>
  <si>
    <t xml:space="preserve">Không cho ký kết quả bằng tài khoản quản trị</t>
  </si>
  <si>
    <t xml:space="preserve">pqa1, LQH, ntdh3, phn3, dtt15, vttq2, TTH39, dsl, vannh, hvh3, bvt, pat, pthai, dht1, ptc4, ndb11, ntt73, nxg…</t>
  </si>
  <si>
    <t xml:space="preserve">Tên đăng nhập cá nhân</t>
  </si>
  <si>
    <t xml:space="preserve">Tích hợp HIS–PACS/LIS</t>
  </si>
  <si>
    <t xml:space="preserve">X-quang (PACS) …</t>
  </si>
  <si>
    <t xml:space="preserve">Ánh xạ tên đăng nhập → mã CCHN</t>
  </si>
  <si>
    <t xml:space="preserve">028322, 32161, 25092, 028605…</t>
  </si>
  <si>
    <t xml:space="preserve">Số thiếu phần /BYT-CCHN</t>
  </si>
  <si>
    <t xml:space="preserve">Trả đủ mã CCHN</t>
  </si>
  <si>
    <t xml:space="preserve">Số CCCD/mã BHXH 12 chữ số (54 người)</t>
  </si>
  <si>
    <t xml:space="preserve">NGUOI_THUC_HIEN (XML3)</t>
  </si>
  <si>
    <t xml:space="preserve">Số định danh thay mã CCHN</t>
  </si>
  <si>
    <t xml:space="preserve">HIS</t>
  </si>
  <si>
    <t xml:space="preserve">HIS xuất mã CCHN/GPHN; 4 người khớp DM NVYT theo số định danh</t>
  </si>
  <si>
    <t xml:space="preserve">Tài khoản dùng chung</t>
  </si>
  <si>
    <t xml:space="preserve">Không cho tài khoản CNTT thực hiện DVKT</t>
  </si>
  <si>
    <t xml:space="preserve">Ghi chú: mã CCHN đúng định dạng nhưng chưa có/chưa được duyệt trong danh mục NVYT (XMLComplete_NVYT_KHONG_CO_TRONG_DM) – BS đọc KQ XML4: 43 mã, 9.292 HS; người thực hiện XML3: 65 mã, 9.714 HS → thuộc Phòng TCCB/Phòng BHYT.</t>
  </si>
  <si>
    <t xml:space="preserve">PHÂN LOẠI DANH MỤC LỖI XML3176 THEO NGUỒN PHÁT SINH VÀ ĐƠN VỊ XỬ LÝ</t>
  </si>
  <si>
    <t xml:space="preserve">Số hồ sơ: 23.967 hồ sơ BHYT ra viện 01/10–15/10/2026 (nạp lại ngày 16/10/2026), kiểm lại bằng bộ kiểm hiện tại (commit 63e21fa8, chế độ chỉ đọc) ngày 16/10/2026, không lỗi chạy. Cột P = số hồ sơ của CÙNG nhóm hồ sơ khi kiểm sáng 16/10, trước khi nạp lại (23.254 hồ sơ có trong lần kiểm đó) – để thấy lỗi nào đã giảm sau khi sửa. Đã bỏ 37 mã cũ không còn dùng (đã gộp vào mã mới hoặc đang tắt kiểm). Một hồ sơ có thể mang nhiều mã lỗi nên không cộng dồn số hồ sơ giữa các dòng.</t>
  </si>
  <si>
    <t xml:space="preserve">XML</t>
  </si>
  <si>
    <t xml:space="preserve">Chặn gửi</t>
  </si>
  <si>
    <t xml:space="preserve">Đang kiểm</t>
  </si>
  <si>
    <t xml:space="preserve">Ví dụ thực tế</t>
  </si>
  <si>
    <t xml:space="preserve">Nhóm lớn</t>
  </si>
  <si>
    <t xml:space="preserve">Đơn vị phối hợp</t>
  </si>
  <si>
    <t xml:space="preserve">Hướng xử lý</t>
  </si>
  <si>
    <t xml:space="preserve">FIXERROR hệ thống khác tự sửa (quy tắc số)</t>
  </si>
  <si>
    <t xml:space="preserve">Số HS trước khi nạp lại (kiểm sáng 16/10)</t>
  </si>
  <si>
    <t xml:space="preserve">XML3_INFO_ERROR_MA_MAY_NOT_FOUND</t>
  </si>
  <si>
    <t xml:space="preserve">Mã máy không tồn tại trong danh mục trang thiết bị</t>
  </si>
  <si>
    <t xml:space="preserve">Không</t>
  </si>
  <si>
    <t xml:space="preserve">Có</t>
  </si>
  <si>
    <t xml:space="preserve">Mã máy không tồn tại: ĐX.2.000895</t>
  </si>
  <si>
    <t xml:space="preserve">Nghiệp vụ</t>
  </si>
  <si>
    <t xml:space="preserve">Phòng BHYT; CNTT</t>
  </si>
  <si>
    <t xml:space="preserve">Cập nhật danh mục trang thiết bị (mã máy) lên cổng và vào phần mềm</t>
  </si>
  <si>
    <t xml:space="preserve">XML4_CHI_SO_EMPTY</t>
  </si>
  <si>
    <t xml:space="preserve">Mã/tên chỉ số để trống</t>
  </si>
  <si>
    <t xml:space="preserve">Dòng có giá trị/đơn vị đo nhưng thiếu mã chỉ số và tên chỉ số. Dịch vụ: 22.0121.1369</t>
  </si>
  <si>
    <t xml:space="preserve">Kỹ thuật</t>
  </si>
  <si>
    <t xml:space="preserve">Hãng LIS (Mitalab); Khoa Xét nghiệm</t>
  </si>
  <si>
    <t xml:space="preserve">Bổ sung ánh xạ mã/tên chỉ số trên kết nối LIS → HIS (gộp hai mã cũ mã chỉ số trống + tên chỉ số trống từ 15/10)</t>
  </si>
  <si>
    <t xml:space="preserve">XMLComplete_NVYT_KHONG_CO_TRONG_DM</t>
  </si>
  <si>
    <t xml:space="preserve">Mã nhân viên y tế không có trong danh mục NVYT</t>
  </si>
  <si>
    <t xml:space="preserve">032154/BYT-CCHN không có trong danh mục NVYT — người thực hiện XML3 (1 dòng: Siêu âm doppler tim, van tim), BS đọc KQ XML4 (1 dòng: 18.0052.0004)</t>
  </si>
  <si>
    <t xml:space="preserve">Rà soát, đăng ký bổ sung NVYT lên cổng; cập nhật DM NVYT vào phần mềm (gộp các mã NVYT "không tồn tại" cũ từ 15/10)</t>
  </si>
  <si>
    <t xml:space="preserve">#35</t>
  </si>
  <si>
    <t xml:space="preserve">XML3_INFO_ERROR_GROUP_CODE_MA_MAY</t>
  </si>
  <si>
    <t xml:space="preserve">Thiếu mã máy</t>
  </si>
  <si>
    <t xml:space="preserve">Mã máy không được để trống đối với DVKT: Đốt sóng cao tần điều trị ung thư gan (RFA) dưới hướng dẫn siêu âm (mã 18.0614.0063)</t>
  </si>
  <si>
    <t xml:space="preserve">Phòng VT-TBYT; Hãng PACS; Hãng LIS</t>
  </si>
  <si>
    <t xml:space="preserve">Kết nối thiết bị/PACS/LIS trả mã máy thực hiện; HIS bắt buộc mã máy với DVKT yêu cầu</t>
  </si>
  <si>
    <t xml:space="preserve">XML3_OVERLAPPING_BED_USAGE</t>
  </si>
  <si>
    <t xml:space="preserve">Giường sử dụng trùng lặp</t>
  </si>
  <si>
    <t xml:space="preserve">Giường T008 tại khoa K14 sử dụng trùng lặp trong khoảng thời gian từ 09/10/2026 20:49 đến 10/10/2026 20:49. Trùng lặp với hồ sơ có mã: 000007379048 (NGAY_TH_YL: 10/10/2026 11:00, NGAY_KQ: 10/10/2026 1</t>
  </si>
  <si>
    <t xml:space="preserve">Khoa lâm sàng; CNTT</t>
  </si>
  <si>
    <t xml:space="preserve">Rà soát chỉ định ngày giường, công khám, khoa chỉ định đúng quy định BHYT</t>
  </si>
  <si>
    <t xml:space="preserve">XML3_INVALID_MA_DICH_VU</t>
  </si>
  <si>
    <t xml:space="preserve">Mã dịch vụ không tồn tại</t>
  </si>
  <si>
    <t xml:space="preserve">Dịch vụ không tồn tại trong DM DVKT: _TB</t>
  </si>
  <si>
    <t xml:space="preserve">Nhập đủ danh mục DVKT đã được BHXH phê duyệt (cơ sở 01929 chỉ có 8.123 dòng so với 15.660 của 37470); tên DVKT trên HIS theo đúng tên phê duyệt</t>
  </si>
  <si>
    <t xml:space="preserve">XML4_INFO_ERROR_MA_DICH_VU_NOT_FOUND</t>
  </si>
  <si>
    <t xml:space="preserve">Mã dịch vụ không tồn tại trong danh mục DVKT: 24.0108.1720.SC2</t>
  </si>
  <si>
    <t xml:space="preserve">XML8_TOMTAT_KQ_TOO_SHORT</t>
  </si>
  <si>
    <t xml:space="preserve">Tóm tắt kết quả quá ngắn</t>
  </si>
  <si>
    <t xml:space="preserve">Tóm tắt kết quả chỉ 9 ký tự (&lt; 20): "xem hs BA"</t>
  </si>
  <si>
    <t xml:space="preserve">Bác sĩ nhập đủ, đúng nội dung chuyên môn trên HIS; Phòng KHTH kiểm tra</t>
  </si>
  <si>
    <t xml:space="preserve">#47</t>
  </si>
  <si>
    <t xml:space="preserve">XML2_INVALID_DANG_BAO_CHE</t>
  </si>
  <si>
    <t xml:space="preserve">Dạng bào chế không khớp danh mục</t>
  </si>
  <si>
    <t xml:space="preserve">Mã thuốc: 40.980; Dạng bào chế không khớp danh mục: "Hỗn dịch xịt qua bình định kiều điều áp" # danh mục: "Hỗn dịch xịt qua bình định liều điều áp"</t>
  </si>
  <si>
    <t xml:space="preserve">Khoa Dược đối chiếu danh mục thuốc trên HIS với danh mục được duyệt (mã, tên, hàm lượng, SĐK, thầu, đường dùng, dạng bào chế, ĐVT, giá)</t>
  </si>
  <si>
    <t xml:space="preserve">XML3_NGAY_TH_YL_EQUALS_NGAY_KQ</t>
  </si>
  <si>
    <t xml:space="preserve">Thời gian thực hiện y lệnh trùng thời gian kết quả</t>
  </si>
  <si>
    <t xml:space="preserve">NGAY_TH_YL = NGAY_KQ = 31/08/2026 23:11. Dịch vụ: Xét nghiệm đường máu mao mạch tại giường (một lần)</t>
  </si>
  <si>
    <t xml:space="preserve">Khoa lâm sàng; Khoa thăm dò chức năng</t>
  </si>
  <si>
    <t xml:space="preserve">Giờ bắt đầu/kết thúc phải là giờ thực hiện thật, không lấy giờ bấm trả kết quả (Điện tim, Đường máu mao mạch tại giường…)</t>
  </si>
  <si>
    <t xml:space="preserve">#33</t>
  </si>
  <si>
    <t xml:space="preserve">XML3_EXECUTION_TIME_UNDER_3MIN</t>
  </si>
  <si>
    <t xml:space="preserve">Thời gian thực hiện nhỏ hơn quy định</t>
  </si>
  <si>
    <t xml:space="preserve">Nhóm 3: thực hiện 2 phút (&lt; 3). Dịch vụ: Đo đa ký hô hấp</t>
  </si>
  <si>
    <t xml:space="preserve">XML3_SAME_DOCTOR_ORDER_AND_EXECUTE</t>
  </si>
  <si>
    <t xml:space="preserve">Bác sĩ vừa ra y lệnh vừa thực hiện</t>
  </si>
  <si>
    <t xml:space="preserve">Mã bác sĩ = người thực hiện = 5301/BP-CCHN. Dịch vụ: Định nhóm máu tại giường bệnh trước truyền máu [khối hồng cầu, khối bạch cầu]</t>
  </si>
  <si>
    <t xml:space="preserve">Phòng KHTH; CNTT</t>
  </si>
  <si>
    <t xml:space="preserve">Rà soát quy trình chỉ định – thực hiện; không gán giờ/người đồng loạt</t>
  </si>
  <si>
    <t xml:space="preserve">Mã nhân viên y tế sai định danh</t>
  </si>
  <si>
    <t xml:space="preserve">vietrad là tài khoản/tên đăng nhập, không phải mã CCHN — BS đọc KQ XML4 (1 dòng: 18.0015.0001)</t>
  </si>
  <si>
    <t xml:space="preserve">Hãng PACS (Vietrad); Hãng LIS (Mitalab); Phòng TCCB</t>
  </si>
  <si>
    <t xml:space="preserve">PACS/LIS/HIS trả mã CCHN thay cho tài khoản/số định danh – xem sheet "Tài khoản thay CCHN"</t>
  </si>
  <si>
    <t xml:space="preserve">#39</t>
  </si>
  <si>
    <t xml:space="preserve">XML2_LIEU_DUNG_UNIT_INVALID</t>
  </si>
  <si>
    <t xml:space="preserve">Đơn vị trong liều dùng khác đơn vị tính của thuốc</t>
  </si>
  <si>
    <t xml:space="preserve">Đơn vị trong liều dùng (Ống) khác đơn vị tính của thuốc (Đơn vị)</t>
  </si>
  <si>
    <t xml:space="preserve">Phòng KHTH; Khoa Dược</t>
  </si>
  <si>
    <t xml:space="preserve">Sửa ánh xạ/định dạng dữ liệu khi HIS xuất XML; bắt buộc nhập trường còn thiếu</t>
  </si>
  <si>
    <t xml:space="preserve">XML4_XN_MISSING_VALUE_RESULT</t>
  </si>
  <si>
    <t xml:space="preserve">Xét nghiệm không nhập giá trị và kết quả</t>
  </si>
  <si>
    <t xml:space="preserve">Chỉ số Đo độ ngưng tập tiểu cầu với Ristocetin trong huyết tương giàu tiểu cầu không có giá trị/mô tả/kết luận. Dịch vụ: 22.0042.1288</t>
  </si>
  <si>
    <t xml:space="preserve">LIS trả đủ giá trị/kết luận theo chỉ số; kết quả dạng chữ (vi sinh) đưa vào KET_LUAN/MO_TA</t>
  </si>
  <si>
    <t xml:space="preserve">Thiếu mã nhân viên y tế</t>
  </si>
  <si>
    <t xml:space="preserve">Thiếu mã người thực hiện ở 1 dòng: XML3 (1 dòng: Siêu âm ổ bụng (gan mật, tụy, lách, thận, bàng quang)).</t>
  </si>
  <si>
    <t xml:space="preserve">Khoa Xét nghiệm; Khoa CĐHA; Khoa lâm sàng</t>
  </si>
  <si>
    <t xml:space="preserve">Bắt buộc nhập người thực hiện/BS đọc KQ trên HIS; cấu hình người ký thủ trưởng (gộp các mã NVYT "để trống" cũ từ 15/10)</t>
  </si>
  <si>
    <t xml:space="preserve">XML2_INVALID_DRUG_CONCENTRATION</t>
  </si>
  <si>
    <t xml:space="preserve">Mã thuốc sai hàm lượng trong danh mục BHYT</t>
  </si>
  <si>
    <t xml:space="preserve">Mã thuốc: 40.980; Sai hàm lượng: 5mg/2,5ml</t>
  </si>
  <si>
    <t xml:space="preserve">XML2_INVALID_DUONG_DUNG</t>
  </si>
  <si>
    <t xml:space="preserve">Đường dùng không khớp danh mục</t>
  </si>
  <si>
    <t xml:space="preserve">Mã thuốc: 40.883; Đường dùng không khớp danh mục: "6.01" # danh mục: "Dùng ngoài / 3.05"</t>
  </si>
  <si>
    <t xml:space="preserve">XML2_INVALID_DRUG_NAME</t>
  </si>
  <si>
    <t xml:space="preserve">Mã thuốc sai tên trong danh mục BHYT</t>
  </si>
  <si>
    <t xml:space="preserve">Mã thuốc: 40.974; Thuốc sai tên so với danh mục được duyệt: Symbicort Turbuhaler # Symbicort Turbuhaler 60 Dose 160/4.5</t>
  </si>
  <si>
    <t xml:space="preserve">Ngày trả kết quả không hợp lệ</t>
  </si>
  <si>
    <t xml:space="preserve">Ngày trả kết quả (NGAY_KQ) không nằm trong khoảng thời gian vào (31/08/2026 08:54) và ra (08/09/2026 15:50)</t>
  </si>
  <si>
    <t xml:space="preserve">Khoa CĐHA; Khoa Xét nghiệm</t>
  </si>
  <si>
    <t xml:space="preserve">Thống nhất một nguồn thời gian trả kết quả giữa PACS/LIS và HIS; rà ca trả kết quả sau ra viện</t>
  </si>
  <si>
    <t xml:space="preserve">#32</t>
  </si>
  <si>
    <t xml:space="preserve">XML4_INFO_ERROR_MO_TA_EMPTY</t>
  </si>
  <si>
    <t xml:space="preserve">Mô tả không được để trống</t>
  </si>
  <si>
    <t xml:space="preserve">Mô tả không được để trống đối với DVKT: 19.0222.0050.K.01916</t>
  </si>
  <si>
    <t xml:space="preserve">Hãng PACS; Khoa CĐHA; Khoa Y học hạt nhân</t>
  </si>
  <si>
    <t xml:space="preserve">PACS/RIS trả đủ mô tả và kết luận; khoa CĐHA không duyệt kết quả trống</t>
  </si>
  <si>
    <t xml:space="preserve">XML5_DIEN_BIEN_DUPLICATE</t>
  </si>
  <si>
    <t xml:space="preserve">Diễn biến điều trị trùng nhau</t>
  </si>
  <si>
    <t xml:space="preserve">Diễn biến lâm sàng trùng với dòng STT 9: "Diễn biến: Y lệnh thuốc; Theo dõi - chăm sóc: Chăm sóc cấp 2 Chế độ ăn BT05  Theo dõi toàn trạng, mạ"</t>
  </si>
  <si>
    <t xml:space="preserve">XML2_PRICE_EXCEEDS_APPROVED</t>
  </si>
  <si>
    <t xml:space="preserve">Giá thuốc cao hơn giá được duyệt</t>
  </si>
  <si>
    <t xml:space="preserve">Mã thuốc: 40.974; Giá cao hơn giá được duyệt: 434000 &gt; 219000.00</t>
  </si>
  <si>
    <t xml:space="preserve">XML3_SERVICE_GROUP_PTTT_DUPLICATE</t>
  </si>
  <si>
    <t xml:space="preserve">PTTT trùng y lệnh</t>
  </si>
  <si>
    <t xml:space="preserve">- Mã điều trị=000007450973; stt=9; Bác sĩ=047397/BYT-CCHN; Ngày yl=13/10/2026 16:56; Ngày th=13/10/2026 16:56; Ngày kq=13/10/2026 17:00</t>
  </si>
  <si>
    <t xml:space="preserve">XML3_OVERLAPPING_SERVICE_EXECUTION</t>
  </si>
  <si>
    <t xml:space="preserve">Thời gian thực hiện trùng với dịch vụ khác</t>
  </si>
  <si>
    <t xml:space="preserve">Dịch vụ 28.0110.0584 (20/09/2026 00:11 - 20/09/2026 00:31) chồng thời gian thực hiện với dịch vụ 15.0301.0218 (20/09/2026 00:11 - 20/09/2026 00:31) trong cùng hồ sơ.</t>
  </si>
  <si>
    <t xml:space="preserve">Thiếu ngày trả kết quả</t>
  </si>
  <si>
    <t xml:space="preserve">Ngày trả kết quả không được để trống</t>
  </si>
  <si>
    <t xml:space="preserve">Hãng PACS; Hãng LIS; Khoa CĐHA; Khoa Xét nghiệm</t>
  </si>
  <si>
    <t xml:space="preserve">Bắt buộc ký số/duyệt kết quả trên PACS/LIS trước khi đẩy về HIS</t>
  </si>
  <si>
    <t xml:space="preserve">#38</t>
  </si>
  <si>
    <t xml:space="preserve">XMLComplete_BED_DAYS_SPECIAL_NOT_CLAIMED</t>
  </si>
  <si>
    <t xml:space="preserve">Trường hợp đặc biệt được cộng 1 ngày giường nhưng chưa khai</t>
  </si>
  <si>
    <t xml:space="preserve">Được cộng 1 ngày giường theo TT39 (loại ra viện 4 - Xin ra viện): được 9, đã khai 8 — chưa khai ngày được cộng thêm.</t>
  </si>
  <si>
    <t xml:space="preserve">CNTT; Phòng TCKT</t>
  </si>
  <si>
    <t xml:space="preserve">Sửa cách HIS tính ngày giường theo TT39 / thanh toán PT lần 2 trong ngày</t>
  </si>
  <si>
    <t xml:space="preserve">XML4_INFO_ERROR_GIA_TRI_LENGTH</t>
  </si>
  <si>
    <t xml:space="preserve">Giá trị quá dài</t>
  </si>
  <si>
    <t xml:space="preserve">Giá trị không được lớn hơn 50 kí tự: Vi khuẩn:Cầu trực khuẩn Gram (-) 1(+) Bạch cầu đa nhân: ( ++)</t>
  </si>
  <si>
    <t xml:space="preserve">#37</t>
  </si>
  <si>
    <t xml:space="preserve">XML2_INVALID_REGISTRATION_NUMBER</t>
  </si>
  <si>
    <t xml:space="preserve">Mã thuốc sai số đăng ký trong danh mục BHYT</t>
  </si>
  <si>
    <t xml:space="preserve">Mã thuốc: 40.692; Số ĐK: 300110997524</t>
  </si>
  <si>
    <t xml:space="preserve">XML3_INVALID_TEN_DICH_VU</t>
  </si>
  <si>
    <t xml:space="preserve">Tên dịch vụ kỹ thuật khác tên được phê duyệt</t>
  </si>
  <si>
    <t xml:space="preserve">Mã DVKT: 22.0307.1306 có tên: Nghiệm pháp Coombs gián tiếp (Kỹ thuật Scangel/Gelcard trên máy tự động); Tên phê duyệt: Nghiệm pháp Coombs gián tiếp (kỹ thuật Scangel/Gelcard trên máy tự động)</t>
  </si>
  <si>
    <t xml:space="preserve">XML3_BED_DAY_QUANTITY_ERROR</t>
  </si>
  <si>
    <t xml:space="preserve">Chỉ định ngày giường &gt; 1</t>
  </si>
  <si>
    <t xml:space="preserve">Số lượng ngày giường &gt; 1. Ngày y lệnh: 31/08/2026 07:58</t>
  </si>
  <si>
    <t xml:space="preserve">XML7_INFO_ERROR_PP_DIEUTRI</t>
  </si>
  <si>
    <t xml:space="preserve">Thiếu phương pháp điều trị</t>
  </si>
  <si>
    <t xml:space="preserve">Phương pháp điều trị không được để trống</t>
  </si>
  <si>
    <t xml:space="preserve">#44</t>
  </si>
  <si>
    <t xml:space="preserve">XML8_INFO_ERROR_PP_DIEUTRI</t>
  </si>
  <si>
    <t xml:space="preserve">XMLComplete_XML4_NGAY_KQ_MISMATCH_XML3</t>
  </si>
  <si>
    <t xml:space="preserve">Ngày KQ XML4 khác ngày KQ XML3</t>
  </si>
  <si>
    <t xml:space="preserve">Dịch vụ 19.0174.1866: ngày KQ XML4 (30/09/2026 15:06) khác ngày KQ XML3</t>
  </si>
  <si>
    <t xml:space="preserve">XMLComplete_MUC_HUONG_EXCEEDS_ENTITLEMENT</t>
  </si>
  <si>
    <t xml:space="preserve">Mức hưởng khai vượt trần cho phép</t>
  </si>
  <si>
    <t xml:space="preserve">Hồ sơ đúng tuyến: mức hưởng khai tối đa 100%, trần cho phép 95% (quyền lợi thẻ 95%).</t>
  </si>
  <si>
    <t xml:space="preserve">Tiếp đón; CNTT</t>
  </si>
  <si>
    <t xml:space="preserve">Tiếp đón khai đúng mã đối tượng, giấy chuyển tuyến/hẹn, mức hưởng theo thẻ; HIS chặn khi thiếu</t>
  </si>
  <si>
    <t xml:space="preserve">XMLComplete_ERROR_MULTIPLE_EXAMINATION_FEES_INPATIENT</t>
  </si>
  <si>
    <t xml:space="preserve">Thừa công khám cho Điều trị nội trú</t>
  </si>
  <si>
    <t xml:space="preserve">Chỉ cho phép có một lần công khám, số lượng hiện tại: 5</t>
  </si>
  <si>
    <t xml:space="preserve">XML3_INVALID_MATERIAL_NAME</t>
  </si>
  <si>
    <t xml:space="preserve">Tên vật tư không khớp với danh mục phê duyệt</t>
  </si>
  <si>
    <t xml:space="preserve">Mã VTYT: N08.00.310.3272.279.0002 có tên: Mặt nạ Oxy không túi các loại, các cỡ; Tên phê duyệt: Mask thở Oxy</t>
  </si>
  <si>
    <t xml:space="preserve">Đối chiếu danh mục VTYT trên HIS với danh mục được duyệt theo thầu</t>
  </si>
  <si>
    <t xml:space="preserve">XMLComplete_BED_DAYS_BELOW_TT39</t>
  </si>
  <si>
    <t xml:space="preserve">Tổng ngày giường nhỏ hơn hướng dẫn TT39</t>
  </si>
  <si>
    <t xml:space="preserve">Tổng ngày giường khai 9 nhỏ hơn số ngày điều trị theo TT39 11 (chênh 2).</t>
  </si>
  <si>
    <t xml:space="preserve">XML3_EXECUTION_TIME_TOO_LONG</t>
  </si>
  <si>
    <t xml:space="preserve">Thời gian thực hiện dịch vụ dài bất thường</t>
  </si>
  <si>
    <t xml:space="preserve">Dịch vụ 01.0175.0196 (08/09/2026 11:00 - 08/09/2041 15:00) kéo dài 131500 giờ 0 phút, vượt ngưỡng 24 giờ. Kiểm tra lại NGAY_TH_YL / NGAY_KQ.</t>
  </si>
  <si>
    <t xml:space="preserve">Lấy giờ bắt đầu/kết thúc thật; rà các dòng PTTT/DVKT kéo dài bất thường (cảnh báo, quy tắc mới 15/10)</t>
  </si>
  <si>
    <t xml:space="preserve">XML4_INFO_ERROR_KET_LUAN_EMPTY</t>
  </si>
  <si>
    <t xml:space="preserve">Kết luận không được để trống</t>
  </si>
  <si>
    <t xml:space="preserve">Kết luận không được để trống đối với DVKT: 19.0222.0050.K.01916</t>
  </si>
  <si>
    <t xml:space="preserve">#40</t>
  </si>
  <si>
    <t xml:space="preserve">XML1_SPECIAL_INPATIENT_ERROR_MA_LY_DO_VNT</t>
  </si>
  <si>
    <t xml:space="preserve">Thiếu mã lý do vào nội trú</t>
  </si>
  <si>
    <t xml:space="preserve">Mã lý do vào nội trú không được để trống</t>
  </si>
  <si>
    <t xml:space="preserve">#6</t>
  </si>
  <si>
    <t xml:space="preserve">XML1_ADMIN_INFO_ERROR_SO_CCCD</t>
  </si>
  <si>
    <t xml:space="preserve">Thiếu số CCCD/Định danh cá nhân</t>
  </si>
  <si>
    <t xml:space="preserve">Số CCCD/định danh cá nhân không được để trống</t>
  </si>
  <si>
    <t xml:space="preserve">Tiếp đón nhập đủ thông tin hành chính; HIS bắt buộc trường bắt buộc</t>
  </si>
  <si>
    <t xml:space="preserve">XML2_INVALID_DRUG_CODE</t>
  </si>
  <si>
    <t xml:space="preserve">Mã thuốc chưa có trong danh mục BHYT</t>
  </si>
  <si>
    <t xml:space="preserve">Mã thuốc không có trong danh mục BHYT: 40.998</t>
  </si>
  <si>
    <t xml:space="preserve">#18, #19</t>
  </si>
  <si>
    <t xml:space="preserve">XML3_DATE_MISMATCH</t>
  </si>
  <si>
    <t xml:space="preserve">Ngày y lệnh không khớp</t>
  </si>
  <si>
    <t xml:space="preserve">Mã dịch vụ: 28.0027.0384; Không tìm thấy ngày y lệnh khớp với vật tư: N08.00.260.0092.155.0003</t>
  </si>
  <si>
    <t xml:space="preserve">XML14_INFO_ERROR_NGAY_HEN_KL_SMALLER_NGAY_RA</t>
  </si>
  <si>
    <t xml:space="preserve">Ngày hẹn khám lại nhỏ hơn hoặc bằng ngày ra</t>
  </si>
  <si>
    <t xml:space="preserve">Ngày hẹn khám lại không được nhỏ hơn hoặc bằng ngày ra: 30/09/2026 &lt;= 30/09/2026 15:17</t>
  </si>
  <si>
    <t xml:space="preserve">#59</t>
  </si>
  <si>
    <t xml:space="preserve">XML3_INVALID_APPROVED_DON_GIA_BH</t>
  </si>
  <si>
    <t xml:space="preserve">Giá DVKT cao hơn giá được phê duyệt</t>
  </si>
  <si>
    <t xml:space="preserve">Mã DVKT: 28.0467.1134; Có giá: 19616000; Giá phê duyệt nhỏ hơn: 4815700.00</t>
  </si>
  <si>
    <t xml:space="preserve">Đối chiếu bảng giá DVKT trên HIS với giá phê duyệt</t>
  </si>
  <si>
    <t xml:space="preserve">XMLComplete_NGAY_TAI_KHAM_KHONG_KHOP_XML14</t>
  </si>
  <si>
    <t xml:space="preserve">Ngày tái khám không có giấy hẹn khám lại tương ứng</t>
  </si>
  <si>
    <t xml:space="preserve">Hồ sơ hẹn tái khám ngày 20261223 nhưng không có giấy hẹn khám lại (XML14)</t>
  </si>
  <si>
    <t xml:space="preserve">XML3_EXCEEDS_APPROVED_PRICE</t>
  </si>
  <si>
    <t xml:space="preserve">Giá vật tư cao hơn giá được phê duyệt</t>
  </si>
  <si>
    <t xml:space="preserve">Mã VTYT: N08.00.260; Có giá: 6250000; Giá phê duyệt: 5600000.00</t>
  </si>
  <si>
    <t xml:space="preserve">XML3_INVALID_DEPARTMENT_CODE</t>
  </si>
  <si>
    <t xml:space="preserve">Khoa chỉ định giường không đúng quy định</t>
  </si>
  <si>
    <t xml:space="preserve">Khoa chỉ định: K103436 (liên khoa K10, K34, K36); Mã giường: K33.GBN.1 — khoa của giường không thuộc khoa chỉ định</t>
  </si>
  <si>
    <t xml:space="preserve">Khoa chỉ định giường phải đúng khoa của giường (trừ liên chuyên khoa)</t>
  </si>
  <si>
    <t xml:space="preserve">XML2_INVALID_TT_THAU</t>
  </si>
  <si>
    <t xml:space="preserve">Mã thuốc sai thông tin thầu trong danh mục BHYT</t>
  </si>
  <si>
    <t xml:space="preserve">Mã thuốc: 40.981; Sai TT_THAU: KQ2500018490_2503131829;G2;N1;2025</t>
  </si>
  <si>
    <t xml:space="preserve">XMLComplete_THUOC_DVKT_ME_KHONG_KHOP</t>
  </si>
  <si>
    <t xml:space="preserve">Thuốc gắn DVKT mẹ không được BHYT thanh toán</t>
  </si>
  <si>
    <t xml:space="preserve">Iopamiro gắn DVKT 18.0191.0040: DVKT 18.0191.0040 Chụp cắt lớp vi tính lồng ngực không tiêm thuốc cản quang (từ 1- 32 dãy) (PACS) không thuộc danh sách DVKT mẹ hợp lệ của vật phẩm. Hợp lệ: 18.0133.0019 Chụp Xquang đường mật qua Kehr; 18.0150.0041 Chụp CLVT …</t>
  </si>
  <si>
    <t xml:space="preserve">Khai thuốc/VTYT kèm đúng DVKT mẹ (MA_DICH_VU, GOI_VTYT) theo danh mục vật phẩm kèm DVKT; rà soát danh mục ở màn quản trị "Vật phẩm kèm DVKT"</t>
  </si>
  <si>
    <t xml:space="preserve">XML3_INFO_ERROR_PP_VO_CAM_EMPTY</t>
  </si>
  <si>
    <t xml:space="preserve">Thiếu phương pháp vô cảm</t>
  </si>
  <si>
    <t xml:space="preserve">Phương pháp vô cảm không được để trống đối với dịch vụ: Điều trị tủy răng và hàn kín hệ thống ống tủy bằng Gutta percha nguội có sử dụng trâm xoay máy [răng số 1, 2, 3]</t>
  </si>
  <si>
    <t xml:space="preserve">#34</t>
  </si>
  <si>
    <t xml:space="preserve">XML3_INVALID_MA_DICH_VU_NGAY_VAO</t>
  </si>
  <si>
    <t xml:space="preserve">Không tìm thấy dịch vụ hợp lệ</t>
  </si>
  <si>
    <t xml:space="preserve">Không tìm thấy dịch vụ hợp lệ cho mã dịch vụ: 24.0184.1637 với ngày vào: 07/10/2023 14:19</t>
  </si>
  <si>
    <t xml:space="preserve">XML1_WARNING_MA_BENH_KT</t>
  </si>
  <si>
    <t xml:space="preserve">Mã bệnh kèm theo thuộc nhóm bệnh cảnh báo</t>
  </si>
  <si>
    <t xml:space="preserve">Mã bệnh kèm theo thuộc nhóm cảnh báo: Z00.4 (Z00)</t>
  </si>
  <si>
    <t xml:space="preserve">#14</t>
  </si>
  <si>
    <t xml:space="preserve">XML3_T_BHTT_SAI_CONG_THUC</t>
  </si>
  <si>
    <t xml:space="preserve">Tiền BHYT thanh toán không đúng công thức</t>
  </si>
  <si>
    <t xml:space="preserve">T_BHTT = THANH_TIEN_BH x MUC_HUONG/100 = 9,912,800.00, hiện khai: 9,015,203.72</t>
  </si>
  <si>
    <t xml:space="preserve">Phòng TCKT; Phòng BHYT</t>
  </si>
  <si>
    <t xml:space="preserve">Sửa công thức tính tiền/tỷ lệ/nguồn chi trả trên HIS</t>
  </si>
  <si>
    <t xml:space="preserve">XML2_LIEU_DUNG_QUANTITY_MISMATCH</t>
  </si>
  <si>
    <t xml:space="preserve">Tổng lượng theo liều khác số lượng thanh toán</t>
  </si>
  <si>
    <t xml:space="preserve">Tổng lượng theo liều (95.004) cao hơn số lượng thanh toán (95). Thuốc: Đảng sâm</t>
  </si>
  <si>
    <t xml:space="preserve">XMLComplete_DVKT_THIEU_VAT_PHAM_KEM</t>
  </si>
  <si>
    <t xml:space="preserve">DVKT bắt buộc kèm vật phẩm nhưng không có vật phẩm</t>
  </si>
  <si>
    <t xml:space="preserve">18.0219.0041 Chụp cắt lớp vi tính tầng trên ổ bụng thường quy (gồm: chụp Cắt lớp vi tính gan - mật, tụy, lách, dạ dày - tá tràng.v.v.) (từ 1-32 dãy) (PACS) BHYT trả 522.960đ, YL 09/10/2026: hồ sơ không có vật phẩm đi kèm (cần một trong: Xenetix 300, Omnipaq…</t>
  </si>
  <si>
    <t xml:space="preserve">XMLComplete_INVALID_BED_DAYS</t>
  </si>
  <si>
    <t xml:space="preserve">Thanh toán ngày giường sai quy định (trừ trường hợp đặc biệt)</t>
  </si>
  <si>
    <t xml:space="preserve">Tổng ngày giường khai 9.5 lớn hơn số ngày giường đúng theo TT39 9, thừa 0.5.</t>
  </si>
  <si>
    <t xml:space="preserve">XMLComplete_SECOND_SURGERY_FULL_PAYMENT</t>
  </si>
  <si>
    <t xml:space="preserve">Phẫu thuật lần 2 trong ngày thanh toán 100%</t>
  </si>
  <si>
    <t xml:space="preserve">Phẫu thuật lần 7 ngày 20260930 (dịch vụ 03.2508.1049) thanh toán 100%</t>
  </si>
  <si>
    <t xml:space="preserve">XML3_INVALID_TT_THAU_FORMAT</t>
  </si>
  <si>
    <t xml:space="preserve">Thông tin thầu không đúng định dạng</t>
  </si>
  <si>
    <t xml:space="preserve">Mã vật tư: N08.00.010.3330.213.0004; có TT_THAU không đúng định dạng: 866/QĐ-BM;;N0;2026</t>
  </si>
  <si>
    <t xml:space="preserve">XML11_INFO_ERROR_PP_DIEUTRI</t>
  </si>
  <si>
    <t xml:space="preserve">#52</t>
  </si>
  <si>
    <t xml:space="preserve">XML3_MEDICAL_SUPPLY_NOT_IN_CATALOG</t>
  </si>
  <si>
    <t xml:space="preserve">VTYT nằm ngoài danh mục BHYT</t>
  </si>
  <si>
    <t xml:space="preserve">VTYT có mã:  với TT_THAU: 6365/QĐ-BM;G0;N0;2026 không có trong danh mục BHYT</t>
  </si>
  <si>
    <t xml:space="preserve">XML8_INFO_ERROR_TOMTAT_KQ</t>
  </si>
  <si>
    <t xml:space="preserve">Thiếu tóm tắt kết quả</t>
  </si>
  <si>
    <t xml:space="preserve">Tóm tắt kết quả không được để trống</t>
  </si>
  <si>
    <t xml:space="preserve">XML1_ADMIN_INFO_ERROR_MA_NOI_DI_NOT_FOUND</t>
  </si>
  <si>
    <t xml:space="preserve">Mã nơi đi không có trong danh mục</t>
  </si>
  <si>
    <t xml:space="preserve">Mã nơi đi: 79472 không có trong danh mục CSKCB</t>
  </si>
  <si>
    <t xml:space="preserve">Nhập đúng mã cơ sở KCB nơi đi/đến/ĐKBĐ (có mã gõ sai như 38230b)</t>
  </si>
  <si>
    <t xml:space="preserve">XMLComplete_THUOC_KHONG_CO_DVKT_ME</t>
  </si>
  <si>
    <t xml:space="preserve">Thuốc thanh toán ngoài giá không có DVKT mẹ được BHYT thanh toán</t>
  </si>
  <si>
    <t xml:space="preserve">Omnipaque (40.644) BHYT trả 353.609đ, YL 05/10/2026: không có DVKT mẹ trong hồ sơ. Cần một trong: 18.0150.0041 Chụp CLVT sọ não có tiêm thuốc cản quang (từ 1-32 dãy) [không in phim]; 18.0156.0041 Chụp CLVT hàm - mặt có tiêm thuốc cản quang (từ 1-32 dãy) [kh…</t>
  </si>
  <si>
    <t xml:space="preserve">XML2_LIEU_DUNG_INVALID_FORMAT</t>
  </si>
  <si>
    <t xml:space="preserve">Liều dùng không đúng định dạng 130</t>
  </si>
  <si>
    <t xml:space="preserve">Liều dùng "Đặt hậu môn khi đau nhiều * 1 ngày [1,0 Viên/ngày]" của thuốc Voltaren không đúng định dạng 130 (SL/lần * số lần/ngày * số ngày)</t>
  </si>
  <si>
    <t xml:space="preserve">XMLComplete_GOI_VTYT_KHONG_KHOP</t>
  </si>
  <si>
    <t xml:space="preserve">Gói VTYT không khớp DVKT mẹ được BHYT thanh toán</t>
  </si>
  <si>
    <t xml:space="preserve">Kẹp vá sọ não tự tiêu 2 phía CRANIOFIX-ABSORBABLE  gắn DVKT 26.0003.0379: DVKT 26.0003.0379 Phẫu thuật vi phẫu u não đường giữa không thuộc danh sách DVKT mẹ hợp lệ của vật phẩm. Hợp lệ: 26.0004.0387 Phẫu thuật vi phẫu dị dạng mạch não; 28.0027.0384 Phẫu th…</t>
  </si>
  <si>
    <t xml:space="preserve">XML2_PRESCRIPTION_EXCEEDS_30_DAYS</t>
  </si>
  <si>
    <t xml:space="preserve">Kê thuốc quá số ngày cho phép</t>
  </si>
  <si>
    <t xml:space="preserve">Kê 91 ngày (&gt; 90). Thuốc: pms-Tenofovir</t>
  </si>
  <si>
    <t xml:space="preserve">XML1_ADMIN_INFO_ERROR_MAXA_CU_TRU_NOT_FOUND</t>
  </si>
  <si>
    <t xml:space="preserve">Mã phường xã không tồn tại</t>
  </si>
  <si>
    <t xml:space="preserve">Mã phường xã không tồn tại trong danh mục: 14032</t>
  </si>
  <si>
    <t xml:space="preserve">Cập nhật danh mục hành chính 2 cấp và danh mục nghề nghiệp trên HIS; khoá mã cũ</t>
  </si>
  <si>
    <t xml:space="preserve">XML1_DOI_TUONG_KCB_THIEU_GIAY_CHUYEN_TUYEN</t>
  </si>
  <si>
    <t xml:space="preserve">Thiếu số phiếu chuyển cơ sở KCB hoặc số phiếu hẹn khám lại</t>
  </si>
  <si>
    <t xml:space="preserve">Mã đối tượng 1.5 (Đến KCB theo phiếu hẹn khám lại) nhưng GIAY_CHUYEN_TUYEN để trống</t>
  </si>
  <si>
    <t xml:space="preserve">#17</t>
  </si>
  <si>
    <t xml:space="preserve">XML3_NGAY_KQ_GREATER_NGAY_RA</t>
  </si>
  <si>
    <t xml:space="preserve">Ngày kết quả dịch vụ lớn hơn ngày ra viện</t>
  </si>
  <si>
    <t xml:space="preserve">Ngày KQ (30/10/2026 20:15) &gt; ngày ra (02/10/2026 10:06). Dịch vụ: Thay huyết tương sử dụng huyết tương</t>
  </si>
  <si>
    <t xml:space="preserve">XML1_SPECIAL_INPATIENT_ERROR_PP_DIEU_TRI</t>
  </si>
  <si>
    <t xml:space="preserve">#16</t>
  </si>
  <si>
    <t xml:space="preserve">XML1_ADMIN_INFO_ERROR_TO_MUCH_CAN_NANG</t>
  </si>
  <si>
    <t xml:space="preserve">Cân nặng không hợp lệ</t>
  </si>
  <si>
    <t xml:space="preserve">Cân nặng không hợp lệ: 850</t>
  </si>
  <si>
    <t xml:space="preserve">#10</t>
  </si>
  <si>
    <t xml:space="preserve">XMLComplete_EXCESS_BED_DAYS</t>
  </si>
  <si>
    <t xml:space="preserve">Điều trị nội trú &gt;= 4h và &lt;= 24h tính thừa ngày giường</t>
  </si>
  <si>
    <t xml:space="preserve">Thời gian điều trị nội trú từ 4 đến 24 giờ, tính thừa ngày giường: 2</t>
  </si>
  <si>
    <t xml:space="preserve">XML1_ADMIN_INFO_ERROR_MATINH_CU_TRU_NOT_FOUND</t>
  </si>
  <si>
    <t xml:space="preserve">Mã tỉnh không tồn tại</t>
  </si>
  <si>
    <t xml:space="preserve">Mã tỉnh không tồn tại trong danh mục: 001</t>
  </si>
  <si>
    <t xml:space="preserve">#3</t>
  </si>
  <si>
    <t xml:space="preserve">XML9_INFO_ERROR_INVALID_MA_THE_TAM</t>
  </si>
  <si>
    <t xml:space="preserve">Định dạng mã thẻ tạm không hợp lệ</t>
  </si>
  <si>
    <t xml:space="preserve">Mã thẻ tạm không đúng theo quy định: TR1010133072595 - Phần đầu tiên không phải là: TE1</t>
  </si>
  <si>
    <t xml:space="preserve">XML1_DISEASE_ICD_CODE_ERROR_MA_BENH_KT</t>
  </si>
  <si>
    <t xml:space="preserve">Mã bệnh kèm theo không tồn tại</t>
  </si>
  <si>
    <t xml:space="preserve">Mã bệnh kèm theo không tồn tại trong danh mục ICD10: M32.1</t>
  </si>
  <si>
    <t xml:space="preserve">#12, #13</t>
  </si>
  <si>
    <t xml:space="preserve">XML1_ADMIN_INFO_ERROR_CHAN_DOAN_VAO</t>
  </si>
  <si>
    <t xml:space="preserve">Thiếu chẩn đoán vào</t>
  </si>
  <si>
    <t xml:space="preserve">Chẩn đoán vào không được để trống</t>
  </si>
  <si>
    <t xml:space="preserve">XML1_ADMIN_INFO_ERROR_MA_DKBD_NOT_FOUND</t>
  </si>
  <si>
    <t xml:space="preserve">Mã đăng ký ban đầu không có trong danh mục</t>
  </si>
  <si>
    <t xml:space="preserve">Mã đăng ký ban đầu: 38101 không có trong danh mục CSKCB</t>
  </si>
  <si>
    <t xml:space="preserve">XML1_DOI_TUONG_KCB_KHONG_PHAI_SO_SINH</t>
  </si>
  <si>
    <t xml:space="preserve">Không phải đối tượng trẻ sơ sinh phải điều trị ngay sau khi sinh ra</t>
  </si>
  <si>
    <t xml:space="preserve">Mã đối tượng 1.7 (Trẻ sơ sinh phải điều trị ngay sau khi sinh ra) nhưng người bệnh sinh ngày 23/09/1989, đã 13.528 ngày tuổi khi vào viện (tối đa 28 ngày)</t>
  </si>
  <si>
    <t xml:space="preserve">XML9_INFO_ERROR_MA_BHXH_NND</t>
  </si>
  <si>
    <t xml:space="preserve">Thiếu mã BHXH Người nuôi dưỡng</t>
  </si>
  <si>
    <t xml:space="preserve">Mã BHXH người nuôi dưỡng không được để trống</t>
  </si>
  <si>
    <t xml:space="preserve">XML9_INFO_ERROR_MA_THE_BHYT_NND_LENGTH</t>
  </si>
  <si>
    <t xml:space="preserve">Mã thẻ BHYT Người nuôi dưỡng không hợp lệ</t>
  </si>
  <si>
    <t xml:space="preserve">Mã thẻ BHYT Người nuôi dưỡng phải có độ dài là 15 ký tự: HC437035187005171</t>
  </si>
  <si>
    <t xml:space="preserve">XMLComplete_VTYT_KHONG_CO_DVKT_ME</t>
  </si>
  <si>
    <t xml:space="preserve">Prismaflex M100 set (N07.02.060.2181.240.0001) BHYT trả 5.840.000đ, YL 10/09/2026: không có DVKT mẹ trong hồ sơ. Cần một trong: 01.0181.0118 Lọc máu thẩm tách liên tục cấp cứu (CVVHDF); 01.0176.0118 Lọc máu liên tục cấp cứu (CVVH); 01.0182.0118 Lọc máu thẩm…</t>
  </si>
  <si>
    <t xml:space="preserve">XML3_INFO_ERROR_GOI_THAU</t>
  </si>
  <si>
    <t xml:space="preserve">Gói thầu không đúng định dạng</t>
  </si>
  <si>
    <t xml:space="preserve">Gói thầu của dịch vụ: Quả lọc hấp phụ sử dụng trong chống độc MG250; không đúng định dạng: 1224/QĐ-BM;;N0;2024</t>
  </si>
  <si>
    <t xml:space="preserve">XMLComplete_SHORT_INPATIENT_STAY</t>
  </si>
  <si>
    <t xml:space="preserve">Điều trị nội trú &lt; 4h không được tính tiền giường</t>
  </si>
  <si>
    <t xml:space="preserve">Thời gian điều trị nội trú nhỏ hơn 4 giờ, không được tính tiền giường.</t>
  </si>
  <si>
    <t xml:space="preserve">XMLComplete_DUPLICATE_EXAMINATION_SERVICE</t>
  </si>
  <si>
    <t xml:space="preserve">Trùng dịch vụ khám bệnh</t>
  </si>
  <si>
    <t xml:space="preserve">Mỗi dịch vụ khám chỉ được tính 1 lần. Dịch vụ khám bị lặp: 10.22</t>
  </si>
  <si>
    <t xml:space="preserve">XML11_INFO_ERROR_DEN_NGAY</t>
  </si>
  <si>
    <t xml:space="preserve">Thiếu đến ngày</t>
  </si>
  <si>
    <t xml:space="preserve">Đến ngày không được để trống</t>
  </si>
  <si>
    <t xml:space="preserve">XML11_INFO_ERROR_SO_NGAY_NGHI</t>
  </si>
  <si>
    <t xml:space="preserve">Thiếu số ngày nghỉ</t>
  </si>
  <si>
    <t xml:space="preserve">Số ngày nghỉ không được để trống</t>
  </si>
  <si>
    <t xml:space="preserve">XML11_INFO_ERROR_TU_NGAY</t>
  </si>
  <si>
    <t xml:space="preserve">Thiếu từ ngày</t>
  </si>
  <si>
    <t xml:space="preserve">Từ ngày không được để trống</t>
  </si>
  <si>
    <t xml:space="preserve">XML11_INFO_ERROR_TU_NGAY_GREATER_NGAY_RA</t>
  </si>
  <si>
    <t xml:space="preserve">Từ ngày lớn hơn ngày ra</t>
  </si>
  <si>
    <t xml:space="preserve">Từ ngày: 07/10/2026 không được lớn hơn ngày ra: 06/10/2026</t>
  </si>
  <si>
    <t xml:space="preserve">XML1_DOI_TUONG_KCB_BENH_NGOAI_PL1</t>
  </si>
  <si>
    <t xml:space="preserve">Tự đến cơ sở cấp chuyên sâu nhưng bệnh không thuộc Phụ lục I TT 01/2025</t>
  </si>
  <si>
    <t xml:space="preserve">Mã đối tượng 1.17 nhưng MA_BENH_CHINH = Z95.2 không thuộc Phụ lục I Thông tư 01/2025/TT-BYT</t>
  </si>
  <si>
    <t xml:space="preserve">XML1_DOI_TUONG_KCB_THIEU_NOI_DI</t>
  </si>
  <si>
    <t xml:space="preserve">Đến KCB có phiếu chuyển nhưng thiếu mã nơi chuyển đi</t>
  </si>
  <si>
    <t xml:space="preserve">Mã đối tượng 1.3 (Đến KCB có phiếu chuyển cơ sở KCB) nhưng MA_NOI_DI để trống</t>
  </si>
  <si>
    <t xml:space="preserve">XML1_DOI_TUONG_KCB_TU_DEN_CO_NOI_DI</t>
  </si>
  <si>
    <t xml:space="preserve">Người bệnh tự đến nhưng lại có mã nơi chuyển đi</t>
  </si>
  <si>
    <t xml:space="preserve">Mã đối tượng 3.6 (Dân tộc thiểu số, hộ nghèo vùng khó khăn đến KCB nội trú tại cơ sở cấp chuyên sâu) nhưng MA_NOI_DI =  </t>
  </si>
  <si>
    <t xml:space="preserve">XML1_WARNING_MA_BENH_CHINH</t>
  </si>
  <si>
    <t xml:space="preserve">Mã bệnh chính thuộc nhóm bệnh cảnh báo</t>
  </si>
  <si>
    <t xml:space="preserve">Mã bệnh chính: Z00.4 thuộc nhóm cảnh báo (Z00)</t>
  </si>
  <si>
    <t xml:space="preserve">XML3_INVALID_ORDER_TIME</t>
  </si>
  <si>
    <t xml:space="preserve">Thời gian chỉ định không hợp lệ</t>
  </si>
  <si>
    <t xml:space="preserve">Thời gian y lệnh không nằm trong khoảng thời gian vào (25/09/2026 12:17) và ra (07/10/2026 13:42)</t>
  </si>
  <si>
    <t xml:space="preserve">#30</t>
  </si>
  <si>
    <t xml:space="preserve">XML3_OUTPATIENT_BED_DAY_ERROR</t>
  </si>
  <si>
    <t xml:space="preserve">Mã loại KCB không được chỉ định ngày giường</t>
  </si>
  <si>
    <t xml:space="preserve">MA_LOAI_KCB là (Khám hoặc Điều trị ngoại trú) nhưng có chỉ định dịch vụ ngày giường</t>
  </si>
  <si>
    <t xml:space="preserve">XML13_INFO_ERROR_MA_BENH_KT_NOT_FOUND</t>
  </si>
  <si>
    <t xml:space="preserve">Mã bệnh kèm theo không tồn tại trong danh mục ICD10:  </t>
  </si>
  <si>
    <t xml:space="preserve">#54</t>
  </si>
  <si>
    <t xml:space="preserve">XML1_ADMIN_INFO_ERROR_MA_DOITUONG_KCB_INVALID</t>
  </si>
  <si>
    <t xml:space="preserve">Mã đối tượng KCB không hợp lệ</t>
  </si>
  <si>
    <t xml:space="preserve">Mã đối tượng KCB Trái tuyến nhưng thẻ BHYT Đúng tuyến</t>
  </si>
  <si>
    <t xml:space="preserve">XML1_ADMIN_INFO_ERROR_MA_DANTOC</t>
  </si>
  <si>
    <t xml:space="preserve">Thiếu mã dân tộc</t>
  </si>
  <si>
    <t xml:space="preserve">Mã dân tộc không được để trống</t>
  </si>
  <si>
    <t xml:space="preserve">XML11_INFO_ERROR_MA_THE_BHYT_LENGTH</t>
  </si>
  <si>
    <t xml:space="preserve">Mã thẻ BHYT không hợp lệ</t>
  </si>
  <si>
    <t xml:space="preserve">Mã thẻ BHYT phải có độ dài là 15 ký tự: DN431031071005275</t>
  </si>
  <si>
    <t xml:space="preserve">XML11_INFO_ERROR_SO_CT</t>
  </si>
  <si>
    <t xml:space="preserve">Thiếu số chứng từ</t>
  </si>
  <si>
    <t xml:space="preserve">Số chứng từ không được để trống</t>
  </si>
  <si>
    <t xml:space="preserve">XML11_INFO_ERROR_SO_SERI</t>
  </si>
  <si>
    <t xml:space="preserve">Thiếu số serial</t>
  </si>
  <si>
    <t xml:space="preserve">Số serial không được để trống</t>
  </si>
  <si>
    <t xml:space="preserve">XML13_INFO_ERROR_MA_CSKCB_DEN_NOT_FOUND</t>
  </si>
  <si>
    <t xml:space="preserve">Mã CSKCB đến không có trong danh mục</t>
  </si>
  <si>
    <t xml:space="preserve">Mã CSKCB đến: 38230b không có trong danh mục CSKCB</t>
  </si>
  <si>
    <t xml:space="preserve">XML1_ADMIN_INFO_ERROR_GIAY_CHUYEN_TUYEN</t>
  </si>
  <si>
    <t xml:space="preserve">Thiếu số giấy chuyển tuyến</t>
  </si>
  <si>
    <t xml:space="preserve">Số giấy chuyển tuyến không được để trống khi chuyển từ CSKCB khác</t>
  </si>
  <si>
    <t xml:space="preserve">XML1_ADMIN_INFO_ERROR_LY_DO_VV</t>
  </si>
  <si>
    <t xml:space="preserve">Thiếu lý do vào viện</t>
  </si>
  <si>
    <t xml:space="preserve">Lý do vào viện không được để trống</t>
  </si>
  <si>
    <t xml:space="preserve">#5</t>
  </si>
  <si>
    <t xml:space="preserve">XML1_ADMIN_INFO_ERROR_MA_NOI_DEN_NOT_FOUND</t>
  </si>
  <si>
    <t xml:space="preserve">Mã nơi đến không có trong danh mục</t>
  </si>
  <si>
    <t xml:space="preserve">Mã nơi đến: 38230b không có trong danh mục CSKCB</t>
  </si>
  <si>
    <t xml:space="preserve">XML1_DOI_TUONG_KCB_DKBD_KHAC_CSKCB</t>
  </si>
  <si>
    <t xml:space="preserve">Đến đúng nơi đăng ký ban đầu nhưng MA_DKBD khác MA_CSKCB</t>
  </si>
  <si>
    <t xml:space="preserve">Mã đối tượng 1.1 (Đến KCB đúng cơ sở nơi đăng ký KCB BHYT ban đầu) nhưng MA_DKBD có mã khác MA_CSKCB 37470: 01929</t>
  </si>
  <si>
    <t xml:space="preserve">XML1_DOI_TUONG_KCB_DUNG_DKBD_SAI_MA</t>
  </si>
  <si>
    <t xml:space="preserve">Đến đúng nơi đăng ký ban đầu nhưng khai mã đối tượng khẳng định đến từ nơi khác</t>
  </si>
  <si>
    <t xml:space="preserve">MA_CSKCB 01929 nằm trong MA_DKBD (01929) nhưng mã đối tượng khai là 1.17, vốn khẳng định người bệnh đến từ nơi khác (tự đến hoặc có phiếu chuyển)</t>
  </si>
  <si>
    <t xml:space="preserve">XML1_NGAY_SINH_GREATER_NGAY_VAO</t>
  </si>
  <si>
    <t xml:space="preserve">Ngày sinh lớn hơn ngày vào viện</t>
  </si>
  <si>
    <t xml:space="preserve">Ngày sinh (31/08/2026 00:00) lớn hơn ngày vào viện (30/08/2026 23:51)</t>
  </si>
  <si>
    <t xml:space="preserve">XML2_INVALID_ORDER_TIME</t>
  </si>
  <si>
    <t xml:space="preserve">Thời gian y lệnh không hợp lệ</t>
  </si>
  <si>
    <t xml:space="preserve">Thời gian y lệnh nhỏ hơn ngày vào hoặc lớn hơn ngày ra (Mã thuốc: 40.646)</t>
  </si>
  <si>
    <t xml:space="preserve">#21</t>
  </si>
  <si>
    <t xml:space="preserve">XML3_INFO_ERROR_MA_BENH_INVALID</t>
  </si>
  <si>
    <t xml:space="preserve">Mã bệnh không tồn tại trong DM ICD10</t>
  </si>
  <si>
    <t xml:space="preserve">Mã bệnh không tồn tại trong danh mục ICD10: G05.1</t>
  </si>
  <si>
    <t xml:space="preserve">#24</t>
  </si>
  <si>
    <t xml:space="preserve">XML5_INVALID_THOI_DIEM_BDLS</t>
  </si>
  <si>
    <t xml:space="preserve">Thời điểm BĐLS không hợp lệ</t>
  </si>
  <si>
    <t xml:space="preserve">THOI_DIEM_BDLS: 19/08/2026 10:17 không nằm trong khoảng thời gian vào (20/08/2026 05:00) và ra (07/09/2026 17:23)</t>
  </si>
  <si>
    <t xml:space="preserve">#41</t>
  </si>
  <si>
    <t xml:space="preserve">XML7_NGOAITRU_TUNGAY_BEFORE_NGAY_RA</t>
  </si>
  <si>
    <t xml:space="preserve">Bắt đầu nghỉ ngoại trú trước ngày ra viện</t>
  </si>
  <si>
    <t xml:space="preserve">Từ ngày ngoại trú (03/10/2026) &lt; ngày ra (05/10/2026 14:12)</t>
  </si>
  <si>
    <t xml:space="preserve">XMLComplete_CAN_NANG_CON_THIEU_XML9</t>
  </si>
  <si>
    <t xml:space="preserve">Có cân nặng con nhưng thiếu giấy chứng sinh</t>
  </si>
  <si>
    <t xml:space="preserve">CAN_NANG_CON = 3400 (chỉ ghi khi sinh con) nhưng hồ sơ không có dòng XML9 nào</t>
  </si>
  <si>
    <t xml:space="preserve">#11</t>
  </si>
  <si>
    <t xml:space="preserve">XMLComplete_INVALID_EXPENSE_T_BHTT</t>
  </si>
  <si>
    <t xml:space="preserve">Tiền BHTT không khớp</t>
  </si>
  <si>
    <t xml:space="preserve">Tiền BHTT trong XML1: 14,709,559 &lt;&gt; chi phí T_TONGCHI_BH trong XML1 - T_BNCCT trong XML1: 18,029,741</t>
  </si>
  <si>
    <t xml:space="preserve">XMLComplete_MUC_HUONG_TRAI_TUYEN_TW</t>
  </si>
  <si>
    <t xml:space="preserve">Hồ sơ trái tuyến nội trú tuyến TW: mức hưởng khai tối đa 95%, trần cho phép 38% (quyền lợi thẻ 95%).</t>
  </si>
  <si>
    <t xml:space="preserve">DVKT không thực hiện được nhưng vẫn có đơn giá</t>
  </si>
  <si>
    <t xml:space="preserve">Mã _TB có hậu tố _TB (chỉ định nhưng không thực hiện được) nên đơn giá BH và đơn giá BV phải bằng 0. Hiện đơn giá BH: 1,400,000, đơn giá BV: 1,400,000</t>
  </si>
  <si>
    <t xml:space="preserve">XML1_DOI_TUONG_KCB_THIEU_MA_KHUVUC</t>
  </si>
  <si>
    <t xml:space="preserve">Thiếu mã khu vực</t>
  </si>
  <si>
    <t xml:space="preserve">Mã đối tượng 3.6 (Dân tộc thiểu số, hộ nghèo vùng khó khăn đến KCB nội trú tại cơ sở cấp chuyên sâu) nhưng MA_KHUVUC để trống</t>
  </si>
  <si>
    <t xml:space="preserve">#1</t>
  </si>
  <si>
    <t xml:space="preserve">E1</t>
  </si>
  <si>
    <t xml:space="preserve">Mã thừa trong danh mục lỗi – rà soát, xoá</t>
  </si>
  <si>
    <t xml:space="preserve">XML11_INFO_ERROR_DATE_RANGE</t>
  </si>
  <si>
    <t xml:space="preserve">Ngày không hợp lệ</t>
  </si>
  <si>
    <t xml:space="preserve">XML11_INFO_ERROR_DEN_NGAY_LESS_THAN_NGAY_RA</t>
  </si>
  <si>
    <t xml:space="preserve">Đến ngày nhỏ hơn ngày ra</t>
  </si>
  <si>
    <t xml:space="preserve">XML11_INFO_ERROR_MA_BHXH</t>
  </si>
  <si>
    <t xml:space="preserve">Thiếu mã BHXH</t>
  </si>
  <si>
    <t xml:space="preserve">Mã BHXH không được để trống</t>
  </si>
  <si>
    <t xml:space="preserve">XML11_INFO_ERROR_MA_BHXH_LENGTH</t>
  </si>
  <si>
    <t xml:space="preserve">Mã BHXH không hợp lệ</t>
  </si>
  <si>
    <t xml:space="preserve">Mã BHXH phải có độ dài là 10 ký tự: 037199007057</t>
  </si>
  <si>
    <t xml:space="preserve">XML11_INFO_ERROR_MA_THE_BHYT</t>
  </si>
  <si>
    <t xml:space="preserve">Thiếu mã thẻ BHYT</t>
  </si>
  <si>
    <t xml:space="preserve">Mã thẻ BHYT không được để trống</t>
  </si>
  <si>
    <t xml:space="preserve">XML13_INFO_ERROR_DAU_HIEU_LS</t>
  </si>
  <si>
    <t xml:space="preserve">Thiếu dấu hiệu lâm sàng</t>
  </si>
  <si>
    <t xml:space="preserve">#56</t>
  </si>
  <si>
    <t xml:space="preserve">XML13_INFO_ERROR_HUONG_DIEU_TRI</t>
  </si>
  <si>
    <t xml:space="preserve">Thiếu hướng điều trị</t>
  </si>
  <si>
    <t xml:space="preserve">XML13_INFO_ERROR_MA_BENH_CHINH_NOT_FOUND</t>
  </si>
  <si>
    <t xml:space="preserve">Mã bệnh chính không tồn tại</t>
  </si>
  <si>
    <t xml:space="preserve">XML13_INFO_ERROR_MA_CSKCB_NOT_FOUND</t>
  </si>
  <si>
    <t xml:space="preserve">Mã cơ sở KCB không có trong danh mục</t>
  </si>
  <si>
    <t xml:space="preserve">Mã cơ sở KCB: 37470 không có trong danh mục CSKCB</t>
  </si>
  <si>
    <t xml:space="preserve">Bổ sung cơ sở 37470 vào danh mục CSKCB của phần mềm kiểm</t>
  </si>
  <si>
    <t xml:space="preserve">XML13_INFO_ERROR_MA_NOI_DEN_NOT_FOUND</t>
  </si>
  <si>
    <t xml:space="preserve">XML13_INFO_ERROR_PHUONGTIEN_VC</t>
  </si>
  <si>
    <t xml:space="preserve">Thiếu phương tiện vận chuyển</t>
  </si>
  <si>
    <t xml:space="preserve">XML13_INFO_ERROR_QT_BENHLY</t>
  </si>
  <si>
    <t xml:space="preserve">Thiếu quá trình bệnh lý</t>
  </si>
  <si>
    <t xml:space="preserve">XML13_INFO_ERROR_TEN_DICH_VU</t>
  </si>
  <si>
    <t xml:space="preserve">Thiếu dịch vụ</t>
  </si>
  <si>
    <t xml:space="preserve">XML13_INFO_ERROR_TEN_DICH_VU_LENGTH</t>
  </si>
  <si>
    <t xml:space="preserve">Tên dịch vụ vượt quá 1024 ký tự</t>
  </si>
  <si>
    <t xml:space="preserve">XML13_INFO_ERROR_TEN_THUOC_LENGTH</t>
  </si>
  <si>
    <t xml:space="preserve">Tên thuốc vượt quá 1024 ký tự</t>
  </si>
  <si>
    <t xml:space="preserve">XML13_INFO_ERROR_TINH_TRANG_CT</t>
  </si>
  <si>
    <t xml:space="preserve">Thiếu tình trạng chuyển tuyến</t>
  </si>
  <si>
    <t xml:space="preserve">XML13_INFO_ERROR_TOMTAT_KQ</t>
  </si>
  <si>
    <t xml:space="preserve">XML14_INFO_ERROR_MA_DOITUONG_KCB</t>
  </si>
  <si>
    <t xml:space="preserve">Thiếu mã đối tượng KCB</t>
  </si>
  <si>
    <t xml:space="preserve">XML14_INFO_ERROR_NGAY_HEN_KL</t>
  </si>
  <si>
    <t xml:space="preserve">Thiếu ngày hẹn khám lại</t>
  </si>
  <si>
    <t xml:space="preserve">XML14_INFO_ERROR_SO_GIAYHEN_KL</t>
  </si>
  <si>
    <t xml:space="preserve">Thiếu số giấy hẹn khám lại</t>
  </si>
  <si>
    <t xml:space="preserve">XML1_ADMIN_INFO_ERROR_CAN_NANG</t>
  </si>
  <si>
    <t xml:space="preserve">Thiếu cân nặng</t>
  </si>
  <si>
    <t xml:space="preserve">#9</t>
  </si>
  <si>
    <t xml:space="preserve">XML1_ADMIN_INFO_ERROR_MATINH_CU_TRU</t>
  </si>
  <si>
    <t xml:space="preserve">Thiếu mã tỉnh</t>
  </si>
  <si>
    <t xml:space="preserve">#2</t>
  </si>
  <si>
    <t xml:space="preserve">XML1_ADMIN_INFO_ERROR_MAXA_CU_TRU</t>
  </si>
  <si>
    <t xml:space="preserve">Thiếu mã phường xã</t>
  </si>
  <si>
    <t xml:space="preserve">XML1_ADMIN_INFO_ERROR_MAXA_NOT_IN_MATINH</t>
  </si>
  <si>
    <t xml:space="preserve">Mã xã không thuộc tỉnh cư trú</t>
  </si>
  <si>
    <t xml:space="preserve">Mã xã 13708 không thuộc tỉnh 37</t>
  </si>
  <si>
    <t xml:space="preserve">XML1_ADMIN_INFO_ERROR_MA_CSKCB_NOT_FOUND</t>
  </si>
  <si>
    <t xml:space="preserve">XML1_ADMIN_INFO_ERROR_MA_DOITUONG_KCB</t>
  </si>
  <si>
    <t xml:space="preserve">#15</t>
  </si>
  <si>
    <t xml:space="preserve">XML1_ADMIN_INFO_ERROR_MA_KHUVUC</t>
  </si>
  <si>
    <t xml:space="preserve">Mã khu vực không hợp lệ</t>
  </si>
  <si>
    <t xml:space="preserve">XML1_ADMIN_INFO_ERROR_MA_NGHE_NGHIEP</t>
  </si>
  <si>
    <t xml:space="preserve">Thiếu mã nghề nghiệp</t>
  </si>
  <si>
    <t xml:space="preserve">Mã nghề nghiệp không được để trống</t>
  </si>
  <si>
    <t xml:space="preserve">#8</t>
  </si>
  <si>
    <t xml:space="preserve">XML1_ADMIN_INFO_ERROR_MA_NGHE_NGHIEP_LENGTH</t>
  </si>
  <si>
    <t xml:space="preserve">Mã nghề nghiệp không hợp lệ</t>
  </si>
  <si>
    <t xml:space="preserve">XML1_ADMIN_INFO_ERROR_MA_NGHE_NGHIEP_NOT_FOUND</t>
  </si>
  <si>
    <t xml:space="preserve">Mã nghề nghiệp không tồn tại</t>
  </si>
  <si>
    <t xml:space="preserve">Mã nghề nghiệp không tồn tại trong danh mục nghề nghiệp: 99</t>
  </si>
  <si>
    <t xml:space="preserve">XML1_ADMIN_INFO_ERROR_MA_QUOCTICH</t>
  </si>
  <si>
    <t xml:space="preserve">Thiếu mã quốc tịch</t>
  </si>
  <si>
    <t xml:space="preserve">XML1_DISEASE_ICD_CODE_ERROR_MA_BENH_CHINH</t>
  </si>
  <si>
    <t xml:space="preserve">XML1_DISEASE_ICD_CODE_ERROR_MA_BENH_CHINH_IN_YHCT</t>
  </si>
  <si>
    <t xml:space="preserve">Mã bệnh chính thuộc bệnh YHCT</t>
  </si>
  <si>
    <t xml:space="preserve">XML1_DISEASE_ICD_CODE_ERROR_MA_BENH_KT_IN_YHCT</t>
  </si>
  <si>
    <t xml:space="preserve">Mã bệnh kèm theo thuộc bệnh YHCT</t>
  </si>
  <si>
    <t xml:space="preserve">XML1_DISEASE_ICD_CODE_ERROR_MA_BENH_YHCT</t>
  </si>
  <si>
    <t xml:space="preserve">Mã bệnh YHCT không tồn tại</t>
  </si>
  <si>
    <t xml:space="preserve">XML1_DOI_TUONG_KCB_31_NGOAI_TRU_CO_BHTT</t>
  </si>
  <si>
    <t xml:space="preserve">Đối tượng này khám ngoại trú không được quỹ BHYT thanh toán</t>
  </si>
  <si>
    <t xml:space="preserve">XML1_DOI_TUONG_KCB_KHONG_THE_SAI_MA</t>
  </si>
  <si>
    <t xml:space="preserve">Không có mã thẻ BHYT nhưng mã đối tượng không phải 9</t>
  </si>
  <si>
    <t xml:space="preserve">MA_THE_BHYT để trống nhưng mã đối tượng khai là 3.1 (Tự đến KCB tại cơ sở cấp chuyên sâu trước đây là tuyến trung ương). Không có thẻ BHYT thì mã đối tượng phải là 9 - Người bệnh không KCB BHYT</t>
  </si>
  <si>
    <t xml:space="preserve">XML1_DOI_TUONG_KCB_NGOAI_DANH_MUC</t>
  </si>
  <si>
    <t xml:space="preserve">Mã đối tượng KCB ngoài danh mục</t>
  </si>
  <si>
    <t xml:space="preserve">XML1_DOI_TUONG_KCB_THIEU_THE_BHYT</t>
  </si>
  <si>
    <t xml:space="preserve">Đề nghị quỹ BHYT thanh toán nhưng không có mã thẻ</t>
  </si>
  <si>
    <t xml:space="preserve">XML1_INVALID_BED_DAYS</t>
  </si>
  <si>
    <t xml:space="preserve">XML1_SPECIAL_INPATIENT_ERROR_LY_DO_VNT</t>
  </si>
  <si>
    <t xml:space="preserve">Thiếu lý do vào nội trú</t>
  </si>
  <si>
    <t xml:space="preserve">#7</t>
  </si>
  <si>
    <t xml:space="preserve">XML1_SPECIAL_INPATIENT_ERROR_MA_LY_DO_VNT_LENGTH</t>
  </si>
  <si>
    <t xml:space="preserve">Mã lý do vào nội trú không hợp lệ</t>
  </si>
  <si>
    <t xml:space="preserve">XML2_INFO_ERROR_NHOM_THAU</t>
  </si>
  <si>
    <t xml:space="preserve">Nhóm thầu không đúng định dạng</t>
  </si>
  <si>
    <t xml:space="preserve">XML2_INVALID_TT_THAU_FORMAT</t>
  </si>
  <si>
    <t xml:space="preserve">XML2_MA_KHOA_REQ_INVALID</t>
  </si>
  <si>
    <t xml:space="preserve">Khoa chỉ định thuốc không hợp lệ</t>
  </si>
  <si>
    <t xml:space="preserve">XML2_MISSING_DRUG_CODE</t>
  </si>
  <si>
    <t xml:space="preserve">Không có mã thuốc</t>
  </si>
  <si>
    <t xml:space="preserve">XML2_MISSING_DRUG_CONCENTRATION</t>
  </si>
  <si>
    <t xml:space="preserve">Không có hàm lượng thuốc</t>
  </si>
  <si>
    <t xml:space="preserve">XML2_MISSING_DRUG_NAME</t>
  </si>
  <si>
    <t xml:space="preserve">Không có tên thuốc</t>
  </si>
  <si>
    <t xml:space="preserve">00.0000; Không có tên thuốc</t>
  </si>
  <si>
    <t xml:space="preserve">#18</t>
  </si>
  <si>
    <t xml:space="preserve">XML2_MISSING_REGISTRATION_NUMBER</t>
  </si>
  <si>
    <t xml:space="preserve">; Không có số đăng ký thuốc</t>
  </si>
  <si>
    <t xml:space="preserve">XML2_MISSING_TT_THAU</t>
  </si>
  <si>
    <t xml:space="preserve">; Không có TT_THAU</t>
  </si>
  <si>
    <t xml:space="preserve">XML2_NGUON_CTRA_INVALID</t>
  </si>
  <si>
    <t xml:space="preserve">Nguồn chi trả thuốc không hợp lệ</t>
  </si>
  <si>
    <t xml:space="preserve">XML2_NGUON_CTRA_NGOAI_QUY_MA_BH_TRA</t>
  </si>
  <si>
    <t xml:space="preserve">Thuốc không do quỹ BHYT chi trả nhưng vẫn đề nghị BHYT thanh toán</t>
  </si>
  <si>
    <t xml:space="preserve">XML2_THANH_TIEN_BH_SAI_CONG_THUC</t>
  </si>
  <si>
    <t xml:space="preserve">Thành tiền BH không đúng công thức</t>
  </si>
  <si>
    <t xml:space="preserve">XML2_THANH_TIEN_BV_SAI_CONG_THUC</t>
  </si>
  <si>
    <t xml:space="preserve">Thành tiền BV không đúng công thức</t>
  </si>
  <si>
    <t xml:space="preserve">XML2_T_BHTT_SAI_CONG_THUC</t>
  </si>
  <si>
    <t xml:space="preserve">XML2_T_NGUONKHAC_SAI_TONG</t>
  </si>
  <si>
    <t xml:space="preserve">Tiền nguồn khác không bằng tổng bốn nguồn thành phần</t>
  </si>
  <si>
    <t xml:space="preserve">XML3_EXCLUDED_MATERIAL_GROUP_CODE</t>
  </si>
  <si>
    <t xml:space="preserve">Vật tư nằm ngoài danh mục hoặc vật tư thay thế</t>
  </si>
  <si>
    <t xml:space="preserve">XML3_INFO_ERROR_INVALID_MA_MAY_FORMAT</t>
  </si>
  <si>
    <t xml:space="preserve">Mã máy không đúng định dạng</t>
  </si>
  <si>
    <t xml:space="preserve">XML3_INFO_ERROR_MA_BENH_IN_YHCT</t>
  </si>
  <si>
    <t xml:space="preserve">Mã bệnh thuộc bệnh YHCT</t>
  </si>
  <si>
    <t xml:space="preserve">Mã bệnh: U67.262.5 thuộc DM YHCT tương đương với: S06.5 trong DM ICD10</t>
  </si>
  <si>
    <t xml:space="preserve">XML3_INFO_ERROR_MA_BENH_TOO_LONG</t>
  </si>
  <si>
    <t xml:space="preserve">Mã bệnh quá dài</t>
  </si>
  <si>
    <t xml:space="preserve">#36</t>
  </si>
  <si>
    <t xml:space="preserve">XML3_INFO_ERROR_MA_BENH_YHCT_INVALID</t>
  </si>
  <si>
    <t xml:space="preserve">Mã bệnh không thuộc DM ICD YHCT</t>
  </si>
  <si>
    <t xml:space="preserve">XML3_INFO_ERROR_NAM_THAU</t>
  </si>
  <si>
    <t xml:space="preserve">Năm thầu không đúng định dạng</t>
  </si>
  <si>
    <t xml:space="preserve">XML3_INFO_ERROR_NHOM_THAU</t>
  </si>
  <si>
    <t xml:space="preserve">XML3_INFO_ERROR_SO_LUONG_INVALID</t>
  </si>
  <si>
    <t xml:space="preserve">Số lượng không hợp lệ</t>
  </si>
  <si>
    <t xml:space="preserve">Số lượng không được &gt; 1 cho dịch vụ: Điều trị tủy răng và hàn kín hệ thống ống tủy bằng Gutta percha nóng chảy có sử dụng trâm xoay máy [răng số 1, 2, 3]</t>
  </si>
  <si>
    <t xml:space="preserve">XML3_INFO_ERROR_TYLE_TT_DV</t>
  </si>
  <si>
    <t xml:space="preserve">Tỷ lệ TT DV không nằm trong khoảng cho phép</t>
  </si>
  <si>
    <t xml:space="preserve">Tỷ lệ TT DV của dịch vụ: Đo khúc xạ máy; không nằm trong khoảng 0-100: 606</t>
  </si>
  <si>
    <t xml:space="preserve">XML3_INVALID_BED_CODE_FORMAT</t>
  </si>
  <si>
    <t xml:space="preserve">Mã giường không đúng định dạng</t>
  </si>
  <si>
    <t xml:space="preserve">#25</t>
  </si>
  <si>
    <t xml:space="preserve">XML3_INVALID_NGAY_KQ_LESSTHEN_NGAY_YL</t>
  </si>
  <si>
    <t xml:space="preserve">Ngày kết quả nhỏ hơn ngày y lệnh</t>
  </si>
  <si>
    <t xml:space="preserve">XML3_MA_DICH_VU_CHUA_CO_GIA_CO_DON_GIA_BH</t>
  </si>
  <si>
    <t xml:space="preserve">DVKT chưa có mức giá nhưng vẫn có đơn giá BH</t>
  </si>
  <si>
    <t xml:space="preserve">XML3_MA_DICH_VU_CHUYEN_MAU_CSKCB_NOT_FOUND</t>
  </si>
  <si>
    <t xml:space="preserve">Mã cơ sở nơi thực hiện cận lâm sàng không có trong danh mục</t>
  </si>
  <si>
    <t xml:space="preserve">XML3_MA_DICH_VU_HAU_TO_LA</t>
  </si>
  <si>
    <t xml:space="preserve">Hậu tố mã dịch vụ không hợp lệ</t>
  </si>
  <si>
    <t xml:space="preserve">Mã 10.9002.0504_BS có hậu tố _BS. Chuẩn chỉ quy định hai hậu tố: _TB và _GT</t>
  </si>
  <si>
    <t xml:space="preserve">XML3_MA_DICH_VU_VAN_CHUYEN_CSKCB_NOT_FOUND</t>
  </si>
  <si>
    <t xml:space="preserve">Mã cơ sở nơi chuyển đến không có trong danh mục</t>
  </si>
  <si>
    <t xml:space="preserve">XML3_MA_DICH_VU_VAN_CHUYEN_THIEU_XANG_DAU</t>
  </si>
  <si>
    <t xml:space="preserve">Vận chuyển người bệnh nhưng thiếu mã xăng dầu</t>
  </si>
  <si>
    <t xml:space="preserve">XML3_MA_KHOA_REQ_INVALID</t>
  </si>
  <si>
    <t xml:space="preserve">Khoa chỉ định dịch vụ không hợp lệ</t>
  </si>
  <si>
    <t xml:space="preserve">Khoa khám bệnh: K01; không được chỉ định: Đo hoạt độ AST (GOT) [Máu]; Đối với BN Nội trú - Trái tuyến</t>
  </si>
  <si>
    <t xml:space="preserve">XML3_MISSING_MATERIAL_CODE</t>
  </si>
  <si>
    <t xml:space="preserve">Mã vật tư rỗng</t>
  </si>
  <si>
    <t xml:space="preserve">Không được để trống trường mã vật tư. Ngày y lệnh: 31/08/2026 17:57</t>
  </si>
  <si>
    <t xml:space="preserve">#26</t>
  </si>
  <si>
    <t xml:space="preserve">XML3_MISSING_MATERIAL_NAME</t>
  </si>
  <si>
    <t xml:space="preserve">Tên vật tư rỗng</t>
  </si>
  <si>
    <t xml:space="preserve">Không được để trống trường tên vật tư. Ngày y lệnh: 31/08/2026 17:57</t>
  </si>
  <si>
    <t xml:space="preserve">XML3_MISSING_SERVICE_OR_MATERIAL</t>
  </si>
  <si>
    <t xml:space="preserve">Mã dịch vụ và Mã vật tư rỗng</t>
  </si>
  <si>
    <t xml:space="preserve">MA_DICH_VU và MA_VAT_TU rỗng</t>
  </si>
  <si>
    <t xml:space="preserve">XML3_PHAM_VI_NGOAI_TAP_GIA_TRI</t>
  </si>
  <si>
    <t xml:space="preserve">Phạm vi ngoài tập giá trị hợp lệ</t>
  </si>
  <si>
    <t xml:space="preserve">XML3_PHAM_VI_TU_TRA_MA_BH_TRA</t>
  </si>
  <si>
    <t xml:space="preserve">Người bệnh tự trả nhưng quỹ BHYT vẫn thanh toán</t>
  </si>
  <si>
    <t xml:space="preserve">XML3_TAI_SU_DUNG_DON_GIA_LECH</t>
  </si>
  <si>
    <t xml:space="preserve">VTYT tái sử dụng nhưng hai đơn giá lệch nhau</t>
  </si>
  <si>
    <t xml:space="preserve">#28</t>
  </si>
  <si>
    <t xml:space="preserve">XML3_TAI_SU_DUNG_INVALID</t>
  </si>
  <si>
    <t xml:space="preserve">Mã tái sử dụng không hợp lệ</t>
  </si>
  <si>
    <t xml:space="preserve">XML3_THANH_TIEN_BH_SAI_CONG_THUC</t>
  </si>
  <si>
    <t xml:space="preserve">XML3_THANH_TIEN_BV_SAI_CONG_THUC</t>
  </si>
  <si>
    <t xml:space="preserve">XML3_T_NGUONKHAC_SAI_TONG</t>
  </si>
  <si>
    <t xml:space="preserve">XML4_INFO_ERROR_MA_DICH_VU</t>
  </si>
  <si>
    <t xml:space="preserve">Thiếu mã dịch vụ</t>
  </si>
  <si>
    <t xml:space="preserve">Mã dịch vụ không được để trống</t>
  </si>
  <si>
    <t xml:space="preserve">XML7_SO_NGAY_NGHI_MISMATCH</t>
  </si>
  <si>
    <t xml:space="preserve">Số ngày nghỉ không đúng (đến − từ)</t>
  </si>
  <si>
    <t xml:space="preserve">Khai 9 ngày, nhưng từ 01/10/2026 đến 10/10/2026 là 10 ngày</t>
  </si>
  <si>
    <t xml:space="preserve">XML8_INFO_ERROR_KET_QUA_DTRI</t>
  </si>
  <si>
    <t xml:space="preserve">Thiếu kết quả điều trị</t>
  </si>
  <si>
    <t xml:space="preserve">#48</t>
  </si>
  <si>
    <t xml:space="preserve">XML9_INFO_ERROR_MA_THE_NND</t>
  </si>
  <si>
    <t xml:space="preserve">Thiếu mã thẻ BHYT Người nuôi dưỡng</t>
  </si>
  <si>
    <t xml:space="preserve">Mã thẻ BHYT Người nuôi dưỡng không được để trống</t>
  </si>
  <si>
    <t xml:space="preserve">XML9_INFO_ERROR_NGAYCAP_CCCD_NND</t>
  </si>
  <si>
    <t xml:space="preserve">Thiếu ngày cấp CCCD người nuôi dưỡng</t>
  </si>
  <si>
    <t xml:space="preserve">XML9_INFO_ERROR_NOICAP_CCCD_NND</t>
  </si>
  <si>
    <t xml:space="preserve">Thiếu nơi cấp CCCD người nuôi dưỡng</t>
  </si>
  <si>
    <t xml:space="preserve">XMLComplete_DOI_TUONG_KCB_LINH_THUOC_CO_TIEN_KHAM</t>
  </si>
  <si>
    <t xml:space="preserve">Chỉ lĩnh thuốc nhưng vẫn có tiền công khám</t>
  </si>
  <si>
    <t xml:space="preserve">XMLComplete_DOI_TUONG_KCB_MUC_HUONG_CO_DINH</t>
  </si>
  <si>
    <t xml:space="preserve">Mức hưởng không đúng quy định của mã đối tượng</t>
  </si>
  <si>
    <t xml:space="preserve">XMLComplete_DOI_TUONG_KCB_MUC_HUONG_THEO_MOC</t>
  </si>
  <si>
    <t xml:space="preserve">Mức hưởng không đúng mốc thời gian của mã đối tượng</t>
  </si>
  <si>
    <t xml:space="preserve">XMLComplete_INFO_ERROR_XML_COMPLETE_MISSING_XML7</t>
  </si>
  <si>
    <t xml:space="preserve">Thiếu hồ sơ XML7 (Giấy ra viện)</t>
  </si>
  <si>
    <t xml:space="preserve">XMLComplete_INVALID_EXPENSE_DRUG</t>
  </si>
  <si>
    <t xml:space="preserve">Tiền thuốc không khớp</t>
  </si>
  <si>
    <t xml:space="preserve">XMLComplete_INVALID_EXPENSE_T_BHTT_GDV</t>
  </si>
  <si>
    <t xml:space="preserve">Tiền bảo hiểm thanh toán GDV không khớp</t>
  </si>
  <si>
    <t xml:space="preserve">XMLComplete_INVALID_EXPENSE_T_TONGCHI_BH</t>
  </si>
  <si>
    <t xml:space="preserve">Tổng chi phí BH thanh toán không khớp</t>
  </si>
  <si>
    <t xml:space="preserve">XMLComplete_INVALID_EXPENSE_T_TONGCHI_BV</t>
  </si>
  <si>
    <t xml:space="preserve">Tổng chi phí không khớp</t>
  </si>
  <si>
    <t xml:space="preserve">XMLComplete_INVALID_EXPENSE_T_VTYT</t>
  </si>
  <si>
    <t xml:space="preserve">Tiền vật tư y tế không khớp</t>
  </si>
  <si>
    <t xml:space="preserve">Tiền VTYT trong XML1: 8,593 &lt;&gt; tổng tiền VTYT trong XML3: 70,593</t>
  </si>
  <si>
    <t xml:space="preserve">XMLComplete_NGAY_TAI_KHAM_SAI_DINH_DANG</t>
  </si>
  <si>
    <t xml:space="preserve">Ngày tái khám sai định dạng</t>
  </si>
  <si>
    <t xml:space="preserve">ĐỐI CHIẾU: LỖI HỆ THỐNG KHÁC TỰ SỬA (FIXERROR) ↔ LỖI TIỀN GIÁM ĐỊNH CHẶN</t>
  </si>
  <si>
    <t xml:space="preserve">Nguồn quy tắc: fixerror-he-thong-khac-lech-his-cong.xlsx. Tiền giám định không tự sửa – chặn/cảnh báo để sửa tại nguồn.</t>
  </si>
  <si>
    <t xml:space="preserve">#</t>
  </si>
  <si>
    <t xml:space="preserve">Trường bị sửa</t>
  </si>
  <si>
    <t xml:space="preserve">FIXERROR tự sửa thế nào</t>
  </si>
  <si>
    <t xml:space="preserve">Mức độ (FIXERROR)</t>
  </si>
  <si>
    <t xml:space="preserve">Mã lỗi Tiền giám định tương ứng</t>
  </si>
  <si>
    <t xml:space="preserve">Số HS Tiền giám định bắt (mã lớn nhất)</t>
  </si>
  <si>
    <t xml:space="preserve">Nhóm lỗi</t>
  </si>
  <si>
    <t xml:space="preserve">Đơn vị sửa tại nguồn</t>
  </si>
  <si>
    <t xml:space="preserve">Còn dùng</t>
  </si>
  <si>
    <t xml:space="preserve">MA_KHUVUC</t>
  </si>
  <si>
    <t xml:space="preserve">Xoá thành rỗng</t>
  </si>
  <si>
    <t xml:space="preserve">Trung bình</t>
  </si>
  <si>
    <t xml:space="preserve">XML1_ADMIN_INFO_ERROR_MA_KHUVUC
XML1_DOI_TUONG_KCB_THIEU_MA_KHUVUC</t>
  </si>
  <si>
    <t xml:space="preserve">Không dùng</t>
  </si>
  <si>
    <t xml:space="preserve">MATINH_CU_TRU</t>
  </si>
  <si>
    <t xml:space="preserve">Gán cứng "01" (Hà Nội)</t>
  </si>
  <si>
    <t xml:space="preserve">Cao</t>
  </si>
  <si>
    <t xml:space="preserve">Lấy ký tự thứ 2–3 (Substring(1,2))</t>
  </si>
  <si>
    <t xml:space="preserve">DIA_CHI</t>
  </si>
  <si>
    <t xml:space="preserve">Ghép ".,&lt;xã&gt;,&lt;huyện&gt;,&lt;tỉnh&gt;" từ danh mục ĐVHC; không khớp thì ra ".,,,"</t>
  </si>
  <si>
    <t xml:space="preserve">Chưa có quy tắc tương ứng</t>
  </si>
  <si>
    <t xml:space="preserve">LY_DO_VV</t>
  </si>
  <si>
    <t xml:space="preserve">Gán chữ "LY_DO_VV"</t>
  </si>
  <si>
    <t xml:space="preserve">Không rõ</t>
  </si>
  <si>
    <t xml:space="preserve">LY_DO_VNT</t>
  </si>
  <si>
    <t xml:space="preserve">Ghi đè LY_DO_VNT bằng 5 ký tự đầu của MA_BENH_CHINH</t>
  </si>
  <si>
    <t xml:space="preserve">Gán chữ "LY_DO_VNT"</t>
  </si>
  <si>
    <t xml:space="preserve">MA_NGHE_NGHIEP</t>
  </si>
  <si>
    <t xml:space="preserve">Gán "00"</t>
  </si>
  <si>
    <t xml:space="preserve">CAN_NANG</t>
  </si>
  <si>
    <t xml:space="preserve">Bịa cân nặng theo tuổi: ≤1 tuổi = 5 kg; 2 tuổi = 13; 3 = 14 … 17 tuổi = 40; ≥18 tuổi = 45 kg</t>
  </si>
  <si>
    <t xml:space="preserve">Nghiêm trọng</t>
  </si>
  <si>
    <t xml:space="preserve">Chia 1000 (giả định nhập gam)</t>
  </si>
  <si>
    <t xml:space="preserve">CAN_NANG_CON</t>
  </si>
  <si>
    <t xml:space="preserve">Làm tròn thành số nguyên</t>
  </si>
  <si>
    <t xml:space="preserve">MA_BENH_CHINH, MA_BENH_KT</t>
  </si>
  <si>
    <t xml:space="preserve">Thay chuỗi con 6 mã: U62.152→M15; A91→A90; I84→K64; N18.0→N18; U58.091→I10; U55.561→G51</t>
  </si>
  <si>
    <t xml:space="preserve">XML1_DISEASE_ICD_CODE_ERROR_MA_BENH_CHINH
XML1_DISEASE_ICD_CODE_ERROR_MA_BENH_KT</t>
  </si>
  <si>
    <t xml:space="preserve">Đổi sang mã mới (xem sheet "Ma ICD bi doi")</t>
  </si>
  <si>
    <t xml:space="preserve">MA_BENH_KT</t>
  </si>
  <si>
    <t xml:space="preserve">Loại bỏ khỏi chuỗi bệnh kèm theo (104 mã, xem sheet "Ma Z bi xoa")</t>
  </si>
  <si>
    <t xml:space="preserve">XML1_WARNING_MA_BENH_KT
XML1_WARNING_MA_BENH_CHINH</t>
  </si>
  <si>
    <t xml:space="preserve">x</t>
  </si>
  <si>
    <t xml:space="preserve">MA_DOITUONG_KCB</t>
  </si>
  <si>
    <t xml:space="preserve">Suy đoán: tỷ lệ T_TONGCHI_BH/T_TONGCHI_BV ≤ 40% → "3"; khoa K02.1/K02.2 → "2"; còn lại → "1"</t>
  </si>
  <si>
    <t xml:space="preserve">XML1_ADMIN_INFO_ERROR_MA_DOITUONG_KCB
XML1_DOI_TUONG_KCB_NGOAI_DANH_MUC</t>
  </si>
  <si>
    <t xml:space="preserve">PP_DIEU_TRI</t>
  </si>
  <si>
    <t xml:space="preserve">Rỗng → "PP_DIEU_TRI" + hằng BSKhongDienTT; dài → cắt 1296 ký tự + "..."</t>
  </si>
  <si>
    <t xml:space="preserve">GIAY_CHUYEN_TUYEN</t>
  </si>
  <si>
    <t xml:space="preserve">Gán số giấy giả "...../20../PCCSKBCB"</t>
  </si>
  <si>
    <t xml:space="preserve">XML1_ADMIN_INFO_ERROR_GIAY_CHUYEN_TUYEN
XML1_DOI_TUONG_KCB_THIEU_GIAY_CHUYEN_TUYEN</t>
  </si>
  <si>
    <t xml:space="preserve">MA_THUOC, TEN_THUOC</t>
  </si>
  <si>
    <t xml:space="preserve">Gán hằng BHYTConfig.DuocChuaNhapTT</t>
  </si>
  <si>
    <t xml:space="preserve">XML2_INVALID_DRUG_CODE
XML2_MISSING_DRUG_NAME</t>
  </si>
  <si>
    <t xml:space="preserve">MA_THUOC</t>
  </si>
  <si>
    <t xml:space="preserve">Đổi thành "9.4.KTNAT"</t>
  </si>
  <si>
    <t xml:space="preserve">SO_DANG_KY</t>
  </si>
  <si>
    <t xml:space="preserve">Gán DuocChuaNhapTT</t>
  </si>
  <si>
    <t xml:space="preserve">NGAY_YL</t>
  </si>
  <si>
    <t xml:space="preserve">Kéo NGAY_YL về đúng NGAY_RA / NGAY_VAO</t>
  </si>
  <si>
    <t xml:space="preserve">NGAY_TH_YL</t>
  </si>
  <si>
    <t xml:space="preserve">Gán NGAY_TH_YL = NGAY_YL</t>
  </si>
  <si>
    <t xml:space="preserve">MA_BAC_SI</t>
  </si>
  <si>
    <t xml:space="preserve">Bỏ "CNTT"; rỗng → gán mã CCHN TRƯỞNG KHOA theo MA_KHOA (xem sheet "Truong khoa gan thay")</t>
  </si>
  <si>
    <t xml:space="preserve">XMLComplete_NVYT_THIEU (BS chỉ định XML2)
XMLComplete_NVYT_KHONG_CO_TRONG_DM / _SAI_DINH_DANG (BS chỉ định XML2)</t>
  </si>
  <si>
    <t xml:space="preserve">MA_BENH</t>
  </si>
  <si>
    <t xml:space="preserve">Thay chuỗi con 6 mã ICD như XML1</t>
  </si>
  <si>
    <t xml:space="preserve">MA_GIUONG</t>
  </si>
  <si>
    <t xml:space="preserve">Đổi thành H017</t>
  </si>
  <si>
    <t xml:space="preserve">MA_VAT_TU, TEN_VAT_TU (nhóm 10)</t>
  </si>
  <si>
    <t xml:space="preserve">Gán hằng BHYTConfig.PVTChuaNhapTT</t>
  </si>
  <si>
    <t xml:space="preserve">XML3_MISSING_MATERIAL_CODE
XML3_MISSING_MATERIAL_NAME</t>
  </si>
  <si>
    <t xml:space="preserve">GOI_VTYT, MA_DICH_VU, TEN_DICH_VU (nhóm 10)</t>
  </si>
  <si>
    <t xml:space="preserve">Xoá cả 3 trường</t>
  </si>
  <si>
    <t xml:space="preserve">TAI_SU_DUNG (nhóm 10)</t>
  </si>
  <si>
    <t xml:space="preserve">Xoá cờ tái sử dụng</t>
  </si>
  <si>
    <t xml:space="preserve">MA_VAT_TU (DVKT y học hạt nhân)</t>
  </si>
  <si>
    <t xml:space="preserve">Gán CỨNG mã "40P.xx" (+ "40P.52") theo từng DVKT – xem sheet "Ma VT gan cung"</t>
  </si>
  <si>
    <t xml:space="preserve">Kéo về NGAY_RA / NGAY_VAO</t>
  </si>
  <si>
    <t xml:space="preserve">Bỏ "CNTT"; rỗng → CCHN trưởng khoa</t>
  </si>
  <si>
    <t xml:space="preserve">XMLComplete_NVYT_THIEU (BS chỉ định XML3)
XMLComplete_NVYT_KHONG_CO_TRONG_DM / _SAI_DINH_DANG (BS chỉ định XML3)</t>
  </si>
  <si>
    <t xml:space="preserve">NGAY_KQ</t>
  </si>
  <si>
    <t xml:space="preserve">Gán = giờ xuất file − 3 phút, hoặc = NGAY_YL</t>
  </si>
  <si>
    <t xml:space="preserve">XML3_INVALID_NGAY_KQ
XML3_NGAY_KQ_GREATER_NGAY_RA
XML3_INVALID_NGAY_KQ_LESSTHEN_NGAY_YL</t>
  </si>
  <si>
    <t xml:space="preserve">Gán = giờ xuất − 3 phút, hoặc = NGAY_YL</t>
  </si>
  <si>
    <t xml:space="preserve">XML3_NGAY_TH_YL_EQUALS_NGAY_KQ
XML3_EXECUTION_TIME_UNDER_3MIN</t>
  </si>
  <si>
    <t xml:space="preserve">PP_VO_CAM</t>
  </si>
  <si>
    <t xml:space="preserve">Nhóm 8, 18 (PT/TT) → "4"; nhóm khác → rỗng</t>
  </si>
  <si>
    <t xml:space="preserve">NGUOI_THUC_HIEN (nhóm 1,2,3,8,18)</t>
  </si>
  <si>
    <t xml:space="preserve">Bỏ "CNTT"; DV khí máu 23.0103.1531 hoặc y lệnh trước 01/07/2024 → gán = MA_BAC_SI (người chỉ định); từ 01/07/2024 → "0000000000"</t>
  </si>
  <si>
    <t xml:space="preserve">XMLComplete_NVYT_THIEU (người thực hiện XML3)
XMLComplete_NVYT_KHONG_CO_TRONG_DM / _SAI_DINH_DANG (người thực hiện XML3)
XML3_SAME_DOCTOR_ORDER_AND_EXECUTE</t>
  </si>
  <si>
    <t xml:space="preserve">Giữ 13 mã đầu, luôn thêm ";" cuối chuỗi</t>
  </si>
  <si>
    <t xml:space="preserve">GIA_TRI</t>
  </si>
  <si>
    <t xml:space="preserve">Cắt 47 ký tự + "..."</t>
  </si>
  <si>
    <t xml:space="preserve">Gán = giờ xuất − 3 phút</t>
  </si>
  <si>
    <t xml:space="preserve">XML4_INFO_ERROR_NGAY_KQ
XMLComplete_XML4_NGAY_KQ_MISMATCH_XML3</t>
  </si>
  <si>
    <t xml:space="preserve">MA_BS_DOC_KQ</t>
  </si>
  <si>
    <t xml:space="preserve">Lấy MA_BAC_SI (người CHỈ ĐỊNH) của dòng XML3 cùng MA_DICH_VU; không thấy → CCHN trưởng khoa</t>
  </si>
  <si>
    <t xml:space="preserve">XMLComplete_NVYT_THIEU (BS đọc KQ XML4)
XMLComplete_NVYT_KHONG_CO_TRONG_DM / _SAI_DINH_DANG (BS đọc KQ XML4)</t>
  </si>
  <si>
    <t xml:space="preserve">KET_LUAN</t>
  </si>
  <si>
    <t xml:space="preserve">Gán "KET_LUAN" + BSKhongDienTT</t>
  </si>
  <si>
    <t xml:space="preserve">THOI_DIEM_DBLS</t>
  </si>
  <si>
    <t xml:space="preserve">NGUOI_THUC_HIEN</t>
  </si>
  <si>
    <t xml:space="preserve">Gán CCHN trưởng khoa</t>
  </si>
  <si>
    <t xml:space="preserve">XMLComplete_NVYT_THIEU (người thực hiện XML5)</t>
  </si>
  <si>
    <t xml:space="preserve">MA_BS, TEN_BS</t>
  </si>
  <si>
    <t xml:space="preserve">Gán mã CCHN + HỌ TÊN trưởng khoa ra viện</t>
  </si>
  <si>
    <t xml:space="preserve">XMLComplete_NVYT_THIEU (BS chỉ định XML7)
XMLComplete_NVYT_KHONG_CO_TRONG_DM / _SAI_DINH_DANG (BS chỉ định XML7)</t>
  </si>
  <si>
    <t xml:space="preserve">PP_DIEUTRI, CHAN_DOAN_RV</t>
  </si>
  <si>
    <t xml:space="preserve">Rỗng → tên trường + BSKhongDienTT; dài → cắt 745 + "..."</t>
  </si>
  <si>
    <t xml:space="preserve">MA_TTDV</t>
  </si>
  <si>
    <t xml:space="preserve">Ghi đè theo cơ sở; BVBM: khác mã cấu hình → CCHN trưởng khoa theo XML1.MA_KHOA</t>
  </si>
  <si>
    <t xml:space="preserve">XMLComplete_NVYT_THIEU (thủ trưởng đơn vị XML7)
XMLComplete_NVYT_KHONG_CO_TRONG_DM / _SAI_DINH_DANG (thủ trưởng đơn vị XML7)</t>
  </si>
  <si>
    <t xml:space="preserve">Như XML7</t>
  </si>
  <si>
    <t xml:space="preserve">XMLComplete_NVYT_THIEU (thủ trưởng đơn vị XML8)
XMLComplete_NVYT_KHONG_CO_TRONG_DM / _SAI_DINH_DANG (thủ trưởng đơn vị XML8)</t>
  </si>
  <si>
    <t xml:space="preserve">PP_DIEUTRI, QT_BENHLY, TOMTAT_KQ, CHAN_DOAN_RV</t>
  </si>
  <si>
    <t xml:space="preserve">Rỗng → tên trường + BSKhongDienTT; QT_BENHLY, TOMTAT_KQ ≥ 1500 → cắt 1296; CHAN_DOAN_RV ≥ 1296 → cắt 1296</t>
  </si>
  <si>
    <t xml:space="preserve">XML8_INFO_ERROR_PP_DIEUTRI
XML8_INFO_ERROR_TOMTAT_KQ
XML8_TOMTAT_KQ_TOO_SHORT</t>
  </si>
  <si>
    <t xml:space="preserve">KET_QUA_DTRI</t>
  </si>
  <si>
    <t xml:space="preserve">Rỗng → "3"; giá trị 1 ký tự ("1" Khỏi, "2" Đỡ, "4" Nặng hơn, "5" Tử vong…) cũng bị ép thành "3"</t>
  </si>
  <si>
    <t xml:space="preserve">Gán "3000" (gam)</t>
  </si>
  <si>
    <t xml:space="preserve">DU_PHONG</t>
  </si>
  <si>
    <t xml:space="preserve">Ghi toàn bộ XML của bản ghi vào DU_PHONG</t>
  </si>
  <si>
    <t xml:space="preserve">PP_DIEUTRI</t>
  </si>
  <si>
    <t xml:space="preserve">Tên trường + BSKhongDienTT</t>
  </si>
  <si>
    <t xml:space="preserve">MA_BS</t>
  </si>
  <si>
    <t xml:space="preserve">CCHN trưởng khoa</t>
  </si>
  <si>
    <t xml:space="preserve">XMLComplete_NVYT_KHONG_CO_TRONG_DM / _SAI_DINH_DANG (BS chỉ định XML11)</t>
  </si>
  <si>
    <t xml:space="preserve">Như XML1 (6 mã + bảng 27 mã + lọc Z)</t>
  </si>
  <si>
    <t xml:space="preserve">XML13_INFO_ERROR_MA_BENH_CHINH_NOT_FOUND
XML13_INFO_ERROR_MA_BENH_KT_NOT_FOUND</t>
  </si>
  <si>
    <t xml:space="preserve">XMLComplete_NVYT_THIEU (thủ trưởng đơn vị XML13)
XMLComplete_NVYT_KHONG_CO_TRONG_DM / _SAI_DINH_DANG (thủ trưởng đơn vị XML13)</t>
  </si>
  <si>
    <t xml:space="preserve">TOMTAT_KQ, QT_BENHLY, DAU_HIEU_LS</t>
  </si>
  <si>
    <t xml:space="preserve">Rỗng → tên trường + BSKhongDienTT; dài → cắt 2997 + "..."</t>
  </si>
  <si>
    <t xml:space="preserve">XML13_INFO_ERROR_TOMTAT_KQ
XML13_INFO_ERROR_QT_BENHLY
XML13_INFO_ERROR_DAU_HIEU_LS</t>
  </si>
  <si>
    <t xml:space="preserve">Như XML1</t>
  </si>
  <si>
    <t xml:space="preserve">XMLComplete_NVYT_THIEU (thủ trưởng đơn vị XML14)
XMLComplete_NVYT_KHONG_CO_TRONG_DM / _SAI_DINH_DANG (thủ trưởng đơn vị XML14)</t>
  </si>
  <si>
    <t xml:space="preserve">NGAY_HEN_KL</t>
  </si>
  <si>
    <t xml:space="preserve">Cộng thêm 1 ngày</t>
  </si>
  <si>
    <t xml:space="preserve">CÁCH ĐỌC VÀ PHÂN LOẠI</t>
  </si>
  <si>
    <t xml:space="preserve">• Nguồn số liệu: chạy lại bộ kiểm hiện tại (commit 63e21fa8) ở chế độ chỉ đọc trên CSDL thật ngày 16/10/2026 cho 23.967 hồ sơ BHYT ra viện 01/10–15/10/2026 (nạp lại ngày 16/10/2026) (0 hồ sơ lỗi chạy; nhóm này không có hồ sơ viện phí MA_DOITUONG_KCB = 9); mã lỗi đang tắt kiểm (is_check = 0) bị loại như khi ghi thật. Cột P sheet "Danh mục lỗi" = cùng nhóm hồ sơ khi kiểm sáng 16/10, trước khi nạp lại.</t>
  </si>
  <si>
    <t xml:space="preserve">• Đối chiếu: kết quả chạy lại khớp kết quả hệ thống đã ghi khi nạp (157.141 so với 157.205 cặp hồ sơ–mã lỗi; chênh lệch nhỏ do vài hồ sơ kiểm trước khi bản cập nhật quy tắc mới nhất có hiệu lực). Số trong tệp vì vậy cũng là số các đơn vị đang thấy trên màn hình Tiền giám định.</t>
  </si>
  <si>
    <t xml:space="preserve">• "Chặn gửi" = lỗi xuất toán (critical): hồ sơ không được xuất, ký, gửi cổng. "Không" = cảnh báo, vẫn gửi nhưng có nguy cơ bị BHXH giảm trừ.</t>
  </si>
  <si>
    <t xml:space="preserve">• Nhóm lớn: Nghiệp vụ = lỗi do người nhập/quy trình/danh mục; Kỹ thuật = lỗi do HIS, kết nối PACS/LIS/thiết bị, hoặc phần mềm kiểm.</t>
  </si>
  <si>
    <t xml:space="preserve">• Danh mục được xếp vào Nghiệp vụ vì đơn vị chủ quản danh mục (Dược, VT-TBYT, KHTH, TCKT, TCCB) phải sửa; CNTT chỉ phối hợp nạp.</t>
  </si>
  <si>
    <t xml:space="preserve">• Một lỗi có thể có nhiều nguyên nhân; bảng ghi nguyên nhân chính quan sát được trên dữ liệu thật, đơn vị phối hợp ghi ở cột riêng.</t>
  </si>
  <si>
    <t xml:space="preserve">• Thay đổi quy tắc từ bản 14/10: gộp 34 mã NVYT thành 3 mã XMLComplete_NVYT_* (thiếu / không có trong DM / sai định dạng); gộp mã + tên chỉ số trống thành XML4_CHI_SO_EMPTY; thiếu mã máy căn cứ danh mục DVKT cần mã máy (bỏ lọc theo nhóm 1/2/3); thêm quy tắc vật phẩm kèm DVKT, thời gian thực hiện dài bất thường; bỏ báo trùng giữa quy tắc cũ và mới; tắt kiểm một số mã (vd. XML2_INVALID_DON_VI_TINH). Vì kiểm lại toàn bộ nên số liệu có thể TĂNG ở mã có quy tắc mới/mở rộng.</t>
  </si>
  <si>
    <t xml:space="preserve">• Cột FIXERROR: số quy tắc trong tệp phân tích hệ thống khác – nơi lỗi đó bị tự sửa trên bản gửi cổng thay vì sửa tại nguồn.</t>
  </si>
  <si>
    <t xml:space="preserve">• Dòng chữ xám = mã lỗi chưa phát sinh trong kỳ.</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</si>
</sst>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0;0"/>
    <numFmt numFmtId="169" formatCode="#,##0;\-#,##0;&quot;&quot;"/>
  </numFmts>
  <fonts count="15">
    <font>
      <sz val="11"/>
      <color theme="1"/>
      <name val="Calibri"/>
      <family val="0"/>
      <charset val="1"/>
    </font>
    <font>
      <sz val="10"/>
      <name val="Arial"/>
      <family val="0"/>
    </font>
    <font>
      <sz val="10"/>
      <name val="Arial"/>
      <family val="0"/>
    </font>
    <font>
      <sz val="10"/>
      <name val="Arial"/>
      <family val="0"/>
    </font>
    <font>
      <b val="true"/>
      <sz val="14"/>
      <color rgb="FF1F4E78"/>
      <name val="Arial"/>
      <family val="0"/>
      <charset val="1"/>
    </font>
    <font>
      <i val="true"/>
      <sz val="9"/>
      <color rgb="FF595959"/>
      <name val="Arial"/>
      <family val="0"/>
      <charset val="1"/>
    </font>
    <font>
      <b val="true"/>
      <sz val="12"/>
      <color rgb="FF1F4E78"/>
      <name val="Arial"/>
      <family val="0"/>
      <charset val="1"/>
    </font>
    <font>
      <sz val="10"/>
      <name val="Arial"/>
      <family val="0"/>
      <charset val="1"/>
    </font>
    <font>
      <b val="true"/>
      <sz val="10"/>
      <color rgb="FFFFFFFF"/>
      <name val="Arial"/>
      <family val="0"/>
      <charset val="1"/>
    </font>
    <font>
      <b val="true"/>
      <sz val="10"/>
      <name val="Arial"/>
      <family val="0"/>
      <charset val="1"/>
    </font>
    <font>
      <b val="true"/>
      <sz val="11"/>
      <color rgb="FFFFFFFF"/>
      <name val="Arial"/>
      <family val="0"/>
      <charset val="1"/>
    </font>
    <font>
      <b val="true"/>
      <sz val="11"/>
      <name val="Arial"/>
      <family val="0"/>
      <charset val="1"/>
    </font>
    <font>
      <sz val="11"/>
      <name val="Arial"/>
      <family val="0"/>
      <charset val="1"/>
    </font>
    <font>
      <i val="true"/>
      <sz val="10"/>
      <name val="Arial"/>
      <family val="0"/>
      <charset val="1"/>
    </font>
    <font>
      <b val="true"/>
      <sz val="13"/>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right" vertical="top" textRotation="0" wrapText="false" indent="0" shrinkToFit="false"/>
      <protection locked="true" hidden="false"/>
    </xf>
    <xf numFmtId="166" fontId="9" fillId="0" borderId="1" xfId="0" applyFont="true" applyBorder="true" applyAlignment="true" applyProtection="false">
      <alignment horizontal="right"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78"/>
          <bgColor rgb="FF000000"/>
        </patternFill>
      </fill>
    </dxf>
    <dxf>
      <fill>
        <patternFill patternType="solid">
          <bgColor rgb="FF000000"/>
        </patternFill>
      </fill>
    </dxf>
    <dxf>
      <fill>
        <patternFill patternType="solid">
          <fgColor rgb="FFA6A6A6"/>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DDEBF7"/>
          <bgColor rgb="FF000000"/>
        </patternFill>
      </fill>
    </dxf>
    <dxf>
      <fill>
        <patternFill patternType="solid">
          <fgColor rgb="FFFFF2CC"/>
          <bgColor rgb="FF000000"/>
        </patternFill>
      </fill>
    </dxf>
    <dxf>
      <font>
        <color rgb="FFA6A6A6"/>
      </font>
    </dxf>
    <dxf>
      <font>
        <b val="1"/>
        <color rgb="FFC00000"/>
      </font>
    </dxf>
    <dxf>
      <fill>
        <patternFill>
          <bgColor rgb="FFDDEBF7"/>
        </patternFill>
      </fill>
    </dxf>
    <dxf>
      <fill>
        <patternFill>
          <bgColor rgb="FFFFF2CC"/>
        </patternFill>
      </fill>
    </dxf>
    <dxf>
      <fill>
        <patternFill patternType="solid">
          <fgColor rgb="FF000000"/>
          <bgColor rgb="FF000000"/>
        </patternFill>
      </fill>
    </dxf>
    <dxf>
      <font>
        <i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55"/>
  <sheetViews>
    <sheetView showFormulas="false" showGridLines="false" showRowColHeaders="true" showZeros="true" rightToLeft="false" tabSelected="false" showOutlineSymbols="true" defaultGridColor="true" view="normal" topLeftCell="A9" colorId="64" zoomScale="140" zoomScaleNormal="140" zoomScalePageLayoutView="100" workbookViewId="0">
      <selection pane="topLeft" activeCell="A26" activeCellId="0" sqref="A26"/>
    </sheetView>
  </sheetViews>
  <sheetFormatPr defaultColWidth="8.54296875" defaultRowHeight="15" customHeight="false" zeroHeight="false" outlineLevelRow="0" outlineLevelCol="0"/>
  <cols>
    <col collapsed="false" customWidth="true" hidden="false" outlineLevel="0" max="1" min="1" style="0" width="46"/>
    <col collapsed="false" customWidth="true" hidden="false" outlineLevel="0" max="5" min="2" style="0" width="15"/>
    <col collapsed="false" customWidth="true" hidden="false" outlineLevel="0" max="6" min="6" style="0" width="17"/>
    <col collapsed="false" customWidth="true" hidden="false" outlineLevel="0" max="7" min="7" style="0" width="58"/>
  </cols>
  <sheetData>
    <row r="1" customFormat="false" ht="19.5" hidden="false" customHeight="true" outlineLevel="0" collapsed="false">
      <c r="A1" s="1" t="s">
        <v>0</v>
      </c>
    </row>
    <row r="2" customFormat="false" ht="27.75" hidden="false" customHeight="true" outlineLevel="0" collapsed="false">
      <c r="A2" s="2" t="s">
        <v>1</v>
      </c>
      <c r="B2" s="2"/>
      <c r="C2" s="2"/>
      <c r="D2" s="2"/>
      <c r="E2" s="2"/>
      <c r="F2" s="2"/>
      <c r="G2" s="2"/>
    </row>
    <row r="4" customFormat="false" ht="18" hidden="false" customHeight="true" outlineLevel="0" collapsed="false">
      <c r="A4" s="3" t="s">
        <v>2</v>
      </c>
    </row>
    <row r="5" customFormat="false" ht="30" hidden="false" customHeight="true" outlineLevel="0" collapsed="false">
      <c r="A5" s="4" t="s">
        <v>3</v>
      </c>
      <c r="B5" s="4"/>
      <c r="C5" s="4"/>
      <c r="D5" s="4"/>
      <c r="E5" s="4"/>
      <c r="F5" s="4"/>
      <c r="G5" s="4"/>
    </row>
    <row r="6" customFormat="false" ht="30" hidden="false" customHeight="true" outlineLevel="0" collapsed="false">
      <c r="A6" s="4" t="s">
        <v>4</v>
      </c>
      <c r="B6" s="4"/>
      <c r="C6" s="4"/>
      <c r="D6" s="4"/>
      <c r="E6" s="4"/>
      <c r="F6" s="4"/>
      <c r="G6" s="4"/>
    </row>
    <row r="7" customFormat="false" ht="30" hidden="false" customHeight="true" outlineLevel="0" collapsed="false">
      <c r="A7" s="4" t="s">
        <v>5</v>
      </c>
      <c r="B7" s="4"/>
      <c r="C7" s="4"/>
      <c r="D7" s="4"/>
      <c r="E7" s="4"/>
      <c r="F7" s="4"/>
      <c r="G7" s="4"/>
    </row>
    <row r="9" customFormat="false" ht="18" hidden="false" customHeight="true" outlineLevel="0" collapsed="false">
      <c r="A9" s="3" t="s">
        <v>6</v>
      </c>
    </row>
    <row r="10" customFormat="false" ht="30" hidden="false" customHeight="true" outlineLevel="0" collapsed="false">
      <c r="A10" s="5" t="s">
        <v>7</v>
      </c>
      <c r="B10" s="5" t="s">
        <v>8</v>
      </c>
      <c r="C10" s="5" t="s">
        <v>9</v>
      </c>
      <c r="D10" s="5"/>
      <c r="E10" s="5"/>
      <c r="F10" s="5"/>
      <c r="G10" s="5"/>
    </row>
    <row r="11" customFormat="false" ht="16.5" hidden="false" customHeight="true" outlineLevel="0" collapsed="false">
      <c r="A11" s="6" t="s">
        <v>10</v>
      </c>
      <c r="B11" s="7" t="n">
        <v>23967</v>
      </c>
      <c r="C11" s="6" t="s">
        <v>11</v>
      </c>
      <c r="D11" s="6"/>
      <c r="E11" s="6"/>
      <c r="F11" s="6"/>
      <c r="G11" s="6"/>
    </row>
    <row r="12" customFormat="false" ht="16.5" hidden="false" customHeight="true" outlineLevel="0" collapsed="false">
      <c r="A12" s="6" t="s">
        <v>12</v>
      </c>
      <c r="B12" s="7" t="n">
        <v>3816571</v>
      </c>
      <c r="C12" s="6" t="s">
        <v>13</v>
      </c>
      <c r="D12" s="6"/>
      <c r="E12" s="6"/>
      <c r="F12" s="6"/>
      <c r="G12" s="6"/>
    </row>
    <row r="13" customFormat="false" ht="16.5" hidden="false" customHeight="true" outlineLevel="0" collapsed="false">
      <c r="A13" s="6" t="s">
        <v>14</v>
      </c>
      <c r="B13" s="8" t="n">
        <v>216.33</v>
      </c>
      <c r="C13" s="6" t="s">
        <v>15</v>
      </c>
      <c r="D13" s="6"/>
      <c r="E13" s="6"/>
      <c r="F13" s="6"/>
      <c r="G13" s="6"/>
    </row>
    <row r="14" customFormat="false" ht="16.5" hidden="false" customHeight="true" outlineLevel="0" collapsed="false">
      <c r="A14" s="6" t="s">
        <v>16</v>
      </c>
      <c r="B14" s="7" t="n">
        <v>252</v>
      </c>
      <c r="C14" s="6" t="s">
        <v>17</v>
      </c>
      <c r="D14" s="6"/>
      <c r="E14" s="6"/>
      <c r="F14" s="6"/>
      <c r="G14" s="6"/>
    </row>
    <row r="15" customFormat="false" ht="16.5" hidden="false" customHeight="true" outlineLevel="0" collapsed="false">
      <c r="A15" s="6" t="s">
        <v>18</v>
      </c>
      <c r="B15" s="7" t="n">
        <f aca="false">COUNTIF('Danh mục lỗi'!$G$5:$G$222,"&gt;0")</f>
        <v>116</v>
      </c>
      <c r="C15" s="6" t="s">
        <v>19</v>
      </c>
      <c r="D15" s="6"/>
      <c r="E15" s="6"/>
      <c r="F15" s="6"/>
      <c r="G15" s="6"/>
    </row>
    <row r="16" customFormat="false" ht="16.5" hidden="false" customHeight="true" outlineLevel="0" collapsed="false">
      <c r="A16" s="6" t="s">
        <v>20</v>
      </c>
      <c r="B16" s="7" t="n">
        <v>24318</v>
      </c>
      <c r="C16" s="6" t="s">
        <v>21</v>
      </c>
      <c r="D16" s="6"/>
      <c r="E16" s="6"/>
      <c r="F16" s="6"/>
      <c r="G16" s="6"/>
    </row>
    <row r="17" customFormat="false" ht="16.5" hidden="false" customHeight="true" outlineLevel="0" collapsed="false">
      <c r="A17" s="6" t="s">
        <v>22</v>
      </c>
      <c r="B17" s="7" t="n">
        <v>8689</v>
      </c>
      <c r="C17" s="6"/>
      <c r="D17" s="6"/>
      <c r="E17" s="6"/>
      <c r="F17" s="6"/>
      <c r="G17" s="6"/>
    </row>
    <row r="18" customFormat="false" ht="16.5" hidden="false" customHeight="true" outlineLevel="0" collapsed="false">
      <c r="A18" s="6" t="s">
        <v>23</v>
      </c>
      <c r="B18" s="7" t="n">
        <v>5243</v>
      </c>
      <c r="C18" s="6"/>
      <c r="D18" s="6"/>
      <c r="E18" s="6"/>
      <c r="F18" s="6"/>
      <c r="G18" s="6"/>
    </row>
    <row r="19" customFormat="false" ht="16.5" hidden="false" customHeight="true" outlineLevel="0" collapsed="false">
      <c r="A19" s="6" t="s">
        <v>24</v>
      </c>
      <c r="B19" s="7" t="n">
        <v>5089</v>
      </c>
      <c r="C19" s="6"/>
      <c r="D19" s="6"/>
      <c r="E19" s="6"/>
      <c r="F19" s="6"/>
      <c r="G19" s="6"/>
    </row>
    <row r="20" customFormat="false" ht="16.5" hidden="false" customHeight="true" outlineLevel="0" collapsed="false">
      <c r="A20" s="6" t="s">
        <v>25</v>
      </c>
      <c r="B20" s="7" t="n">
        <v>8298</v>
      </c>
      <c r="C20" s="6"/>
      <c r="D20" s="6"/>
      <c r="E20" s="6"/>
      <c r="F20" s="6"/>
      <c r="G20" s="6"/>
    </row>
    <row r="21" customFormat="false" ht="16.5" hidden="false" customHeight="true" outlineLevel="0" collapsed="false">
      <c r="A21" s="6" t="s">
        <v>26</v>
      </c>
      <c r="B21" s="7" t="n">
        <v>3471</v>
      </c>
      <c r="C21" s="6" t="s">
        <v>27</v>
      </c>
      <c r="D21" s="6"/>
      <c r="E21" s="6"/>
      <c r="F21" s="6"/>
      <c r="G21" s="6"/>
    </row>
    <row r="22" customFormat="false" ht="16.5" hidden="false" customHeight="true" outlineLevel="0" collapsed="false">
      <c r="A22" s="6" t="s">
        <v>28</v>
      </c>
      <c r="B22" s="7" t="n">
        <v>756</v>
      </c>
      <c r="C22" s="6" t="s">
        <v>29</v>
      </c>
      <c r="D22" s="6"/>
      <c r="E22" s="6"/>
      <c r="F22" s="6"/>
      <c r="G22" s="6"/>
    </row>
    <row r="23" customFormat="false" ht="16.5" hidden="false" customHeight="true" outlineLevel="0" collapsed="false">
      <c r="A23" s="6" t="s">
        <v>30</v>
      </c>
      <c r="B23" s="7" t="n">
        <v>37</v>
      </c>
      <c r="C23" s="6" t="s">
        <v>31</v>
      </c>
      <c r="D23" s="6"/>
      <c r="E23" s="6"/>
      <c r="F23" s="6"/>
      <c r="G23" s="6"/>
    </row>
    <row r="24" customFormat="false" ht="16.5" hidden="false" customHeight="true" outlineLevel="0" collapsed="false">
      <c r="A24" s="6" t="s">
        <v>32</v>
      </c>
      <c r="B24" s="7" t="n">
        <v>13843</v>
      </c>
      <c r="C24" s="6"/>
      <c r="D24" s="6"/>
      <c r="E24" s="6"/>
      <c r="F24" s="6"/>
      <c r="G24" s="6"/>
    </row>
    <row r="25" customFormat="false" ht="16.5" hidden="false" customHeight="true" outlineLevel="0" collapsed="false">
      <c r="A25" s="6" t="s">
        <v>33</v>
      </c>
      <c r="B25" s="7" t="n">
        <v>17075</v>
      </c>
      <c r="C25" s="6"/>
      <c r="D25" s="6"/>
      <c r="E25" s="6"/>
      <c r="F25" s="6"/>
      <c r="G25" s="6"/>
    </row>
    <row r="26" customFormat="false" ht="30" hidden="false" customHeight="true" outlineLevel="0" collapsed="false">
      <c r="A26" s="6" t="s">
        <v>34</v>
      </c>
      <c r="B26" s="6" t="s">
        <v>35</v>
      </c>
      <c r="C26" s="6" t="s">
        <v>36</v>
      </c>
      <c r="D26" s="6"/>
      <c r="E26" s="6"/>
      <c r="F26" s="6"/>
      <c r="G26" s="6"/>
    </row>
    <row r="28" customFormat="false" ht="18" hidden="false" customHeight="true" outlineLevel="0" collapsed="false">
      <c r="A28" s="3" t="s">
        <v>37</v>
      </c>
    </row>
    <row r="29" customFormat="false" ht="30" hidden="false" customHeight="true" outlineLevel="0" collapsed="false">
      <c r="A29" s="5" t="s">
        <v>38</v>
      </c>
      <c r="B29" s="5" t="s">
        <v>39</v>
      </c>
      <c r="C29" s="5" t="s">
        <v>40</v>
      </c>
      <c r="D29" s="5" t="s">
        <v>41</v>
      </c>
      <c r="E29" s="5" t="s">
        <v>42</v>
      </c>
      <c r="F29" s="5" t="s">
        <v>43</v>
      </c>
      <c r="G29" s="5"/>
    </row>
    <row r="30" customFormat="false" ht="16.5" hidden="false" customHeight="true" outlineLevel="0" collapsed="false">
      <c r="A30" s="9" t="s">
        <v>44</v>
      </c>
      <c r="B30" s="10" t="n">
        <v>23967</v>
      </c>
      <c r="C30" s="11" t="n">
        <v>1</v>
      </c>
      <c r="D30" s="12" t="n">
        <v>216.33</v>
      </c>
      <c r="E30" s="11" t="n">
        <v>1</v>
      </c>
      <c r="F30" s="9"/>
      <c r="G30" s="9"/>
    </row>
    <row r="31" customFormat="false" ht="16.5" hidden="false" customHeight="true" outlineLevel="0" collapsed="false">
      <c r="A31" s="6" t="s">
        <v>45</v>
      </c>
      <c r="B31" s="7" t="n">
        <v>1995</v>
      </c>
      <c r="C31" s="13" t="n">
        <f aca="false">B31/$B$30</f>
        <v>0.0832394542495932</v>
      </c>
      <c r="D31" s="8" t="n">
        <v>3.44</v>
      </c>
      <c r="E31" s="13" t="n">
        <f aca="false">D31/$D$30</f>
        <v>0.015901631766283</v>
      </c>
      <c r="F31" s="6" t="s">
        <v>46</v>
      </c>
      <c r="G31" s="6"/>
    </row>
    <row r="32" customFormat="false" ht="16.5" hidden="false" customHeight="true" outlineLevel="0" collapsed="false">
      <c r="A32" s="6" t="s">
        <v>47</v>
      </c>
      <c r="B32" s="7" t="n">
        <v>10432</v>
      </c>
      <c r="C32" s="13" t="n">
        <f aca="false">B32/$B$30</f>
        <v>0.435265156256519</v>
      </c>
      <c r="D32" s="8" t="n">
        <v>37.44</v>
      </c>
      <c r="E32" s="13" t="n">
        <f aca="false">D32/$D$30</f>
        <v>0.173068922479545</v>
      </c>
      <c r="F32" s="6" t="s">
        <v>48</v>
      </c>
      <c r="G32" s="6"/>
    </row>
    <row r="33" customFormat="false" ht="16.5" hidden="false" customHeight="true" outlineLevel="0" collapsed="false">
      <c r="A33" s="6" t="s">
        <v>49</v>
      </c>
      <c r="B33" s="7" t="n">
        <v>11540</v>
      </c>
      <c r="C33" s="13" t="n">
        <f aca="false">B33/$B$30</f>
        <v>0.481495389493887</v>
      </c>
      <c r="D33" s="8" t="n">
        <v>175.45</v>
      </c>
      <c r="E33" s="13" t="n">
        <f aca="false">D33/$D$30</f>
        <v>0.811029445754172</v>
      </c>
      <c r="F33" s="6" t="s">
        <v>50</v>
      </c>
      <c r="G33" s="6"/>
    </row>
    <row r="34" customFormat="false" ht="16.5" hidden="false" customHeight="true" outlineLevel="0" collapsed="false">
      <c r="A34" s="6" t="s">
        <v>51</v>
      </c>
      <c r="B34" s="7" t="n">
        <v>12424</v>
      </c>
      <c r="C34" s="13" t="n">
        <f aca="false">B34/$B$30</f>
        <v>0.518379438394459</v>
      </c>
      <c r="D34" s="6" t="s">
        <v>52</v>
      </c>
      <c r="E34" s="6"/>
      <c r="F34" s="6"/>
      <c r="G34" s="6"/>
    </row>
    <row r="35" customFormat="false" ht="16.5" hidden="false" customHeight="true" outlineLevel="0" collapsed="false">
      <c r="A35" s="6" t="s">
        <v>53</v>
      </c>
      <c r="B35" s="7" t="n">
        <v>12429</v>
      </c>
      <c r="C35" s="13" t="n">
        <f aca="false">B35/$B$30</f>
        <v>0.518588058580548</v>
      </c>
      <c r="D35" s="6"/>
      <c r="E35" s="6"/>
      <c r="F35" s="6"/>
      <c r="G35" s="6"/>
    </row>
    <row r="36" customFormat="false" ht="16.5" hidden="false" customHeight="true" outlineLevel="0" collapsed="false">
      <c r="A36" s="6" t="s">
        <v>54</v>
      </c>
      <c r="B36" s="7" t="n">
        <v>0</v>
      </c>
      <c r="C36" s="13" t="n">
        <f aca="false">B36/$B$30</f>
        <v>0</v>
      </c>
      <c r="D36" s="6" t="s">
        <v>55</v>
      </c>
      <c r="E36" s="6"/>
      <c r="F36" s="6"/>
      <c r="G36" s="6"/>
    </row>
    <row r="38" customFormat="false" ht="18" hidden="false" customHeight="true" outlineLevel="0" collapsed="false">
      <c r="A38" s="3" t="s">
        <v>56</v>
      </c>
    </row>
    <row r="39" customFormat="false" ht="30" hidden="false" customHeight="true" outlineLevel="0" collapsed="false">
      <c r="A39" s="5" t="s">
        <v>57</v>
      </c>
      <c r="B39" s="5" t="s">
        <v>39</v>
      </c>
      <c r="C39" s="5" t="s">
        <v>58</v>
      </c>
      <c r="D39" s="5" t="s">
        <v>59</v>
      </c>
      <c r="E39" s="5" t="s">
        <v>60</v>
      </c>
      <c r="F39" s="5" t="s">
        <v>41</v>
      </c>
      <c r="G39" s="5" t="s">
        <v>61</v>
      </c>
    </row>
    <row r="40" customFormat="false" ht="16.5" hidden="false" customHeight="true" outlineLevel="0" collapsed="false">
      <c r="A40" s="6" t="s">
        <v>62</v>
      </c>
      <c r="B40" s="7" t="n">
        <v>18845</v>
      </c>
      <c r="C40" s="7" t="n">
        <v>9547</v>
      </c>
      <c r="D40" s="13" t="n">
        <f aca="false">C40/B40</f>
        <v>0.50660652693022</v>
      </c>
      <c r="E40" s="7" t="n">
        <v>1585</v>
      </c>
      <c r="F40" s="8" t="n">
        <v>174.4</v>
      </c>
      <c r="G40" s="14" t="n">
        <v>143.96</v>
      </c>
    </row>
    <row r="41" customFormat="false" ht="16.5" hidden="false" customHeight="true" outlineLevel="0" collapsed="false">
      <c r="A41" s="6" t="s">
        <v>63</v>
      </c>
      <c r="B41" s="7" t="n">
        <v>5122</v>
      </c>
      <c r="C41" s="7" t="n">
        <v>1993</v>
      </c>
      <c r="D41" s="13" t="n">
        <f aca="false">C41/B41</f>
        <v>0.389105818039828</v>
      </c>
      <c r="E41" s="7" t="n">
        <v>410</v>
      </c>
      <c r="F41" s="8" t="n">
        <v>41.93</v>
      </c>
      <c r="G41" s="14" t="n">
        <v>31.48</v>
      </c>
    </row>
    <row r="42" customFormat="false" ht="16.5" hidden="false" customHeight="true" outlineLevel="0" collapsed="false">
      <c r="A42" s="9" t="s">
        <v>64</v>
      </c>
      <c r="B42" s="10" t="n">
        <f aca="false">SUM(B40:B41)</f>
        <v>23967</v>
      </c>
      <c r="C42" s="10" t="n">
        <f aca="false">SUM(C40:C41)</f>
        <v>11540</v>
      </c>
      <c r="D42" s="11" t="n">
        <f aca="false">C42/B42</f>
        <v>0.481495389493887</v>
      </c>
      <c r="E42" s="10" t="n">
        <f aca="false">SUM(E40:E41)</f>
        <v>1995</v>
      </c>
      <c r="F42" s="12" t="n">
        <f aca="false">SUM(F40:F41)</f>
        <v>216.33</v>
      </c>
      <c r="G42" s="15" t="n">
        <f aca="false">SUM(G40:G41)</f>
        <v>175.44</v>
      </c>
    </row>
    <row r="44" customFormat="false" ht="18" hidden="false" customHeight="true" outlineLevel="0" collapsed="false">
      <c r="A44" s="3" t="s">
        <v>65</v>
      </c>
    </row>
    <row r="45" customFormat="false" ht="30" hidden="false" customHeight="true" outlineLevel="0" collapsed="false">
      <c r="A45" s="5" t="s">
        <v>66</v>
      </c>
      <c r="B45" s="5" t="s">
        <v>39</v>
      </c>
      <c r="C45" s="5" t="s">
        <v>58</v>
      </c>
      <c r="D45" s="5" t="s">
        <v>59</v>
      </c>
      <c r="E45" s="5" t="s">
        <v>60</v>
      </c>
      <c r="F45" s="5" t="s">
        <v>41</v>
      </c>
      <c r="G45" s="5" t="s">
        <v>61</v>
      </c>
    </row>
    <row r="46" customFormat="false" ht="16.5" hidden="false" customHeight="true" outlineLevel="0" collapsed="false">
      <c r="A46" s="6" t="s">
        <v>67</v>
      </c>
      <c r="B46" s="7" t="n">
        <v>10902</v>
      </c>
      <c r="C46" s="7" t="n">
        <v>2578</v>
      </c>
      <c r="D46" s="13" t="n">
        <f aca="false">C46/B46</f>
        <v>0.236470372408732</v>
      </c>
      <c r="E46" s="7" t="n">
        <v>1957</v>
      </c>
      <c r="F46" s="8" t="n">
        <v>27.02</v>
      </c>
      <c r="G46" s="14" t="n">
        <v>7.7</v>
      </c>
    </row>
    <row r="47" customFormat="false" ht="16.5" hidden="false" customHeight="true" outlineLevel="0" collapsed="false">
      <c r="A47" s="6" t="s">
        <v>68</v>
      </c>
      <c r="B47" s="7" t="n">
        <v>1285</v>
      </c>
      <c r="C47" s="7" t="n">
        <v>910</v>
      </c>
      <c r="D47" s="13" t="n">
        <f aca="false">C47/B47</f>
        <v>0.708171206225681</v>
      </c>
      <c r="E47" s="7" t="n">
        <v>2</v>
      </c>
      <c r="F47" s="8" t="n">
        <v>8</v>
      </c>
      <c r="G47" s="14" t="n">
        <v>5.41</v>
      </c>
    </row>
    <row r="48" customFormat="false" ht="16.5" hidden="false" customHeight="true" outlineLevel="0" collapsed="false">
      <c r="A48" s="6" t="s">
        <v>69</v>
      </c>
      <c r="B48" s="7" t="n">
        <v>11271</v>
      </c>
      <c r="C48" s="7" t="n">
        <v>7773</v>
      </c>
      <c r="D48" s="13" t="n">
        <f aca="false">C48/B48</f>
        <v>0.689645994144264</v>
      </c>
      <c r="E48" s="7" t="n">
        <v>19</v>
      </c>
      <c r="F48" s="8" t="n">
        <v>178.6</v>
      </c>
      <c r="G48" s="14" t="n">
        <v>160.04</v>
      </c>
    </row>
    <row r="49" customFormat="false" ht="16.5" hidden="false" customHeight="true" outlineLevel="0" collapsed="false">
      <c r="A49" s="6" t="s">
        <v>70</v>
      </c>
      <c r="B49" s="7" t="n">
        <v>124</v>
      </c>
      <c r="C49" s="7" t="n">
        <v>111</v>
      </c>
      <c r="D49" s="13" t="n">
        <f aca="false">C49/B49</f>
        <v>0.895161290322581</v>
      </c>
      <c r="E49" s="7" t="n">
        <v>0</v>
      </c>
      <c r="F49" s="8" t="n">
        <v>2.24</v>
      </c>
      <c r="G49" s="14" t="n">
        <v>2.11</v>
      </c>
    </row>
    <row r="50" customFormat="false" ht="16.5" hidden="false" customHeight="true" outlineLevel="0" collapsed="false">
      <c r="A50" s="6" t="s">
        <v>71</v>
      </c>
      <c r="B50" s="7" t="n">
        <v>12</v>
      </c>
      <c r="C50" s="7" t="n">
        <v>10</v>
      </c>
      <c r="D50" s="13" t="n">
        <f aca="false">C50/B50</f>
        <v>0.833333333333333</v>
      </c>
      <c r="E50" s="7" t="n">
        <v>0</v>
      </c>
      <c r="F50" s="8" t="n">
        <v>0.06</v>
      </c>
      <c r="G50" s="14" t="n">
        <v>0.04</v>
      </c>
    </row>
    <row r="51" customFormat="false" ht="16.5" hidden="false" customHeight="true" outlineLevel="0" collapsed="false">
      <c r="A51" s="6" t="s">
        <v>72</v>
      </c>
      <c r="B51" s="7" t="n">
        <v>373</v>
      </c>
      <c r="C51" s="7" t="n">
        <v>158</v>
      </c>
      <c r="D51" s="13" t="n">
        <f aca="false">C51/B51</f>
        <v>0.423592493297587</v>
      </c>
      <c r="E51" s="7" t="n">
        <v>17</v>
      </c>
      <c r="F51" s="8" t="n">
        <v>0.41</v>
      </c>
      <c r="G51" s="14" t="n">
        <v>0.16</v>
      </c>
    </row>
    <row r="52" customFormat="false" ht="16.5" hidden="false" customHeight="true" outlineLevel="0" collapsed="false">
      <c r="A52" s="9" t="s">
        <v>64</v>
      </c>
      <c r="B52" s="10" t="n">
        <f aca="false">SUM(B46:B51)</f>
        <v>23967</v>
      </c>
      <c r="C52" s="10" t="n">
        <f aca="false">SUM(C46:C51)</f>
        <v>11540</v>
      </c>
      <c r="D52" s="11" t="n">
        <f aca="false">C52/B52</f>
        <v>0.481495389493887</v>
      </c>
      <c r="E52" s="10" t="n">
        <f aca="false">SUM(E46:E51)</f>
        <v>1995</v>
      </c>
      <c r="F52" s="12" t="n">
        <f aca="false">SUM(F46:F51)</f>
        <v>216.33</v>
      </c>
      <c r="G52" s="15" t="n">
        <f aca="false">SUM(G46:G51)</f>
        <v>175.46</v>
      </c>
    </row>
    <row r="54" customFormat="false" ht="18" hidden="false" customHeight="true" outlineLevel="0" collapsed="false">
      <c r="A54" s="3" t="s">
        <v>73</v>
      </c>
    </row>
    <row r="55" customFormat="false" ht="30" hidden="false" customHeight="true" outlineLevel="0" collapsed="false">
      <c r="A55" s="5" t="s">
        <v>74</v>
      </c>
      <c r="B55" s="5" t="s">
        <v>75</v>
      </c>
      <c r="C55" s="5" t="s">
        <v>76</v>
      </c>
      <c r="D55" s="5" t="s">
        <v>77</v>
      </c>
      <c r="E55" s="5" t="s">
        <v>40</v>
      </c>
      <c r="F55" s="5" t="s">
        <v>78</v>
      </c>
      <c r="G55" s="5"/>
    </row>
    <row r="56" customFormat="false" ht="16.5" hidden="false" customHeight="true" outlineLevel="0" collapsed="false">
      <c r="A56" s="6" t="s">
        <v>79</v>
      </c>
      <c r="B56" s="7" t="n">
        <v>48</v>
      </c>
      <c r="C56" s="7" t="n">
        <v>39</v>
      </c>
      <c r="D56" s="7" t="n">
        <v>945</v>
      </c>
      <c r="E56" s="13" t="n">
        <f aca="false">D56/$B$30</f>
        <v>0.0394292151708599</v>
      </c>
      <c r="F56" s="6" t="s">
        <v>80</v>
      </c>
      <c r="G56" s="6"/>
    </row>
    <row r="57" customFormat="false" ht="16.5" hidden="false" customHeight="true" outlineLevel="0" collapsed="false">
      <c r="A57" s="6" t="s">
        <v>81</v>
      </c>
      <c r="B57" s="7" t="n">
        <v>25</v>
      </c>
      <c r="C57" s="7" t="n">
        <v>8</v>
      </c>
      <c r="D57" s="7" t="n">
        <v>11240</v>
      </c>
      <c r="E57" s="13" t="n">
        <f aca="false">D57/$B$30</f>
        <v>0.468978178328535</v>
      </c>
      <c r="F57" s="6" t="s">
        <v>82</v>
      </c>
      <c r="G57" s="6"/>
    </row>
    <row r="58" customFormat="false" ht="16.5" hidden="false" customHeight="true" outlineLevel="0" collapsed="false">
      <c r="A58" s="6" t="s">
        <v>83</v>
      </c>
      <c r="B58" s="7" t="n">
        <v>56</v>
      </c>
      <c r="C58" s="7" t="n">
        <v>24</v>
      </c>
      <c r="D58" s="7" t="n">
        <v>20450</v>
      </c>
      <c r="E58" s="13" t="n">
        <f aca="false">D58/$B$30</f>
        <v>0.853256561104853</v>
      </c>
      <c r="F58" s="6" t="s">
        <v>84</v>
      </c>
      <c r="G58" s="6"/>
    </row>
    <row r="59" customFormat="false" ht="16.5" hidden="false" customHeight="true" outlineLevel="0" collapsed="false">
      <c r="A59" s="6" t="s">
        <v>85</v>
      </c>
      <c r="B59" s="7" t="n">
        <v>8</v>
      </c>
      <c r="C59" s="7" t="n">
        <v>6</v>
      </c>
      <c r="D59" s="7" t="n">
        <v>18242</v>
      </c>
      <c r="E59" s="13" t="n">
        <f aca="false">D59/$B$30</f>
        <v>0.761129886927859</v>
      </c>
      <c r="F59" s="6" t="s">
        <v>86</v>
      </c>
      <c r="G59" s="6"/>
    </row>
    <row r="60" customFormat="false" ht="16.5" hidden="false" customHeight="true" outlineLevel="0" collapsed="false">
      <c r="A60" s="6" t="s">
        <v>87</v>
      </c>
      <c r="B60" s="7" t="n">
        <v>2</v>
      </c>
      <c r="C60" s="7" t="n">
        <v>1</v>
      </c>
      <c r="D60" s="7" t="n">
        <v>1584</v>
      </c>
      <c r="E60" s="13" t="n">
        <f aca="false">D60/$B$30</f>
        <v>0.0660908749530605</v>
      </c>
      <c r="F60" s="6" t="s">
        <v>88</v>
      </c>
      <c r="G60" s="6"/>
    </row>
    <row r="61" customFormat="false" ht="16.5" hidden="false" customHeight="true" outlineLevel="0" collapsed="false">
      <c r="A61" s="6" t="s">
        <v>89</v>
      </c>
      <c r="B61" s="7" t="n">
        <v>3</v>
      </c>
      <c r="C61" s="7" t="n">
        <v>3</v>
      </c>
      <c r="D61" s="7" t="n">
        <v>643</v>
      </c>
      <c r="E61" s="13" t="n">
        <f aca="false">D61/$B$30</f>
        <v>0.0268285559310719</v>
      </c>
      <c r="F61" s="6" t="s">
        <v>90</v>
      </c>
      <c r="G61" s="6"/>
    </row>
    <row r="62" customFormat="false" ht="16.5" hidden="false" customHeight="true" outlineLevel="0" collapsed="false">
      <c r="A62" s="6" t="s">
        <v>91</v>
      </c>
      <c r="B62" s="7" t="n">
        <v>4</v>
      </c>
      <c r="C62" s="7" t="n">
        <v>3</v>
      </c>
      <c r="D62" s="7" t="n">
        <v>7283</v>
      </c>
      <c r="E62" s="13" t="n">
        <f aca="false">D62/$B$30</f>
        <v>0.303876163057537</v>
      </c>
      <c r="F62" s="6" t="s">
        <v>92</v>
      </c>
      <c r="G62" s="6"/>
    </row>
    <row r="63" customFormat="false" ht="16.5" hidden="false" customHeight="true" outlineLevel="0" collapsed="false">
      <c r="A63" s="6" t="s">
        <v>93</v>
      </c>
      <c r="B63" s="7" t="n">
        <v>6</v>
      </c>
      <c r="C63" s="7" t="n">
        <v>6</v>
      </c>
      <c r="D63" s="7" t="n">
        <v>10</v>
      </c>
      <c r="E63" s="13" t="n">
        <f aca="false">D63/$B$30</f>
        <v>0.000417240372178412</v>
      </c>
      <c r="F63" s="6" t="s">
        <v>94</v>
      </c>
      <c r="G63" s="6"/>
    </row>
    <row r="64" customFormat="false" ht="16.5" hidden="false" customHeight="true" outlineLevel="0" collapsed="false">
      <c r="A64" s="6" t="s">
        <v>95</v>
      </c>
      <c r="B64" s="7" t="n">
        <v>13</v>
      </c>
      <c r="C64" s="7" t="n">
        <v>13</v>
      </c>
      <c r="D64" s="7" t="n">
        <v>26</v>
      </c>
      <c r="E64" s="13" t="n">
        <f aca="false">D64/$B$30</f>
        <v>0.00108482496766387</v>
      </c>
      <c r="F64" s="6" t="s">
        <v>96</v>
      </c>
      <c r="G64" s="6"/>
    </row>
    <row r="65" customFormat="false" ht="16.5" hidden="false" customHeight="true" outlineLevel="0" collapsed="false">
      <c r="A65" s="6" t="s">
        <v>97</v>
      </c>
      <c r="B65" s="7" t="n">
        <v>14</v>
      </c>
      <c r="C65" s="7" t="n">
        <v>14</v>
      </c>
      <c r="D65" s="7" t="n">
        <v>3</v>
      </c>
      <c r="E65" s="13" t="n">
        <f aca="false">D65/$B$30</f>
        <v>0.000125172111653524</v>
      </c>
      <c r="F65" s="6" t="s">
        <v>98</v>
      </c>
      <c r="G65" s="6"/>
    </row>
    <row r="66" customFormat="false" ht="16.5" hidden="false" customHeight="true" outlineLevel="0" collapsed="false">
      <c r="A66" s="6" t="s">
        <v>99</v>
      </c>
      <c r="B66" s="7" t="n">
        <v>4</v>
      </c>
      <c r="C66" s="7" t="n">
        <v>4</v>
      </c>
      <c r="D66" s="7" t="n">
        <v>362</v>
      </c>
      <c r="E66" s="13" t="n">
        <f aca="false">D66/$B$30</f>
        <v>0.0151041014728585</v>
      </c>
      <c r="F66" s="6" t="s">
        <v>100</v>
      </c>
      <c r="G66" s="6"/>
    </row>
    <row r="67" customFormat="false" ht="30" hidden="false" customHeight="true" outlineLevel="0" collapsed="false">
      <c r="A67" s="6" t="s">
        <v>101</v>
      </c>
      <c r="B67" s="7" t="n">
        <v>32</v>
      </c>
      <c r="C67" s="7" t="n">
        <v>16</v>
      </c>
      <c r="D67" s="7" t="n">
        <v>13232</v>
      </c>
      <c r="E67" s="13" t="n">
        <f aca="false">D67/$B$30</f>
        <v>0.552092460466475</v>
      </c>
      <c r="F67" s="6" t="s">
        <v>102</v>
      </c>
      <c r="G67" s="6"/>
    </row>
    <row r="69" customFormat="false" ht="18" hidden="false" customHeight="true" outlineLevel="0" collapsed="false">
      <c r="A69" s="3" t="s">
        <v>103</v>
      </c>
    </row>
    <row r="70" customFormat="false" ht="30" hidden="false" customHeight="true" outlineLevel="0" collapsed="false">
      <c r="A70" s="5" t="s">
        <v>104</v>
      </c>
      <c r="B70" s="5" t="s">
        <v>105</v>
      </c>
      <c r="C70" s="5" t="s">
        <v>76</v>
      </c>
      <c r="D70" s="5" t="s">
        <v>106</v>
      </c>
      <c r="E70" s="5" t="s">
        <v>107</v>
      </c>
      <c r="F70" s="5" t="s">
        <v>108</v>
      </c>
      <c r="G70" s="5"/>
    </row>
    <row r="71" customFormat="false" ht="16.5" hidden="false" customHeight="true" outlineLevel="0" collapsed="false">
      <c r="A71" s="6" t="str">
        <f aca="false">'Tổng hợp'!A6</f>
        <v>Phòng BHYT</v>
      </c>
      <c r="B71" s="7" t="n">
        <f aca="false">'Tổng hợp'!B6</f>
        <v>32</v>
      </c>
      <c r="C71" s="7" t="n">
        <f aca="false">'Tổng hợp'!C6</f>
        <v>21</v>
      </c>
      <c r="D71" s="7" t="n">
        <f aca="false">'Tổng hợp'!D6</f>
        <v>12127</v>
      </c>
      <c r="E71" s="7" t="n">
        <f aca="false">'Tổng hợp'!E6</f>
        <v>1177</v>
      </c>
      <c r="F71" s="6" t="str">
        <f aca="false">IF('Tổng hợp'!F6="","",'Tổng hợp'!F6)</f>
        <v>XML3_OVERLAPPING_BED_USAGE (8.117 HS)</v>
      </c>
      <c r="G71" s="6"/>
    </row>
    <row r="72" customFormat="false" ht="16.5" hidden="false" customHeight="true" outlineLevel="0" collapsed="false">
      <c r="A72" s="6" t="str">
        <f aca="false">'Tổng hợp'!A7</f>
        <v>CNTT</v>
      </c>
      <c r="B72" s="7" t="n">
        <f aca="false">'Tổng hợp'!B7</f>
        <v>23</v>
      </c>
      <c r="C72" s="7" t="n">
        <f aca="false">'Tổng hợp'!C7</f>
        <v>9</v>
      </c>
      <c r="D72" s="7" t="n">
        <f aca="false">'Tổng hợp'!D7</f>
        <v>62282</v>
      </c>
      <c r="E72" s="7" t="n">
        <f aca="false">'Tổng hợp'!E7</f>
        <v>10107</v>
      </c>
      <c r="F72" s="6" t="str">
        <f aca="false">IF('Tổng hợp'!F7="","",'Tổng hợp'!F7)</f>
        <v>XML4_CHI_SO_EMPTY (17.415 HS)</v>
      </c>
      <c r="G72" s="6"/>
    </row>
    <row r="73" customFormat="false" ht="16.5" hidden="false" customHeight="true" outlineLevel="0" collapsed="false">
      <c r="A73" s="6" t="str">
        <f aca="false">'Tổng hợp'!A8</f>
        <v>Khoa Dược</v>
      </c>
      <c r="B73" s="7" t="n">
        <f aca="false">'Tổng hợp'!B8</f>
        <v>8</v>
      </c>
      <c r="C73" s="7" t="n">
        <f aca="false">'Tổng hợp'!C8</f>
        <v>1</v>
      </c>
      <c r="D73" s="7" t="n">
        <f aca="false">'Tổng hợp'!D8</f>
        <v>17221</v>
      </c>
      <c r="E73" s="7" t="n">
        <f aca="false">'Tổng hợp'!E8</f>
        <v>396</v>
      </c>
      <c r="F73" s="6" t="str">
        <f aca="false">IF('Tổng hợp'!F8="","",'Tổng hợp'!F8)</f>
        <v>XML2_INVALID_DANG_BAO_CHE (7.033 HS)</v>
      </c>
      <c r="G73" s="6"/>
    </row>
    <row r="74" customFormat="false" ht="16.5" hidden="false" customHeight="true" outlineLevel="0" collapsed="false">
      <c r="A74" s="6" t="str">
        <f aca="false">'Tổng hợp'!A9</f>
        <v>Phòng VT-TBYT</v>
      </c>
      <c r="B74" s="7" t="n">
        <f aca="false">'Tổng hợp'!B9</f>
        <v>6</v>
      </c>
      <c r="C74" s="7" t="n">
        <f aca="false">'Tổng hợp'!C9</f>
        <v>2</v>
      </c>
      <c r="D74" s="7" t="n">
        <f aca="false">'Tổng hợp'!D9</f>
        <v>19568</v>
      </c>
      <c r="E74" s="7" t="n">
        <f aca="false">'Tổng hợp'!E9</f>
        <v>32</v>
      </c>
      <c r="F74" s="6" t="str">
        <f aca="false">IF('Tổng hợp'!F9="","",'Tổng hợp'!F9)</f>
        <v>XML3_INFO_ERROR_MA_MAY_NOT_FOUND (18.854 HS)</v>
      </c>
      <c r="G74" s="6"/>
    </row>
    <row r="75" customFormat="false" ht="16.5" hidden="false" customHeight="true" outlineLevel="0" collapsed="false">
      <c r="A75" s="6" t="str">
        <f aca="false">'Tổng hợp'!A10</f>
        <v>Phòng KHTH</v>
      </c>
      <c r="B75" s="7" t="n">
        <f aca="false">'Tổng hợp'!B10</f>
        <v>4</v>
      </c>
      <c r="C75" s="7" t="n">
        <f aca="false">'Tổng hợp'!C10</f>
        <v>4</v>
      </c>
      <c r="D75" s="7" t="n">
        <f aca="false">'Tổng hợp'!D10</f>
        <v>15601</v>
      </c>
      <c r="E75" s="7" t="n">
        <f aca="false">'Tổng hợp'!E10</f>
        <v>15601</v>
      </c>
      <c r="F75" s="6" t="str">
        <f aca="false">IF('Tổng hợp'!F10="","",'Tổng hợp'!F10)</f>
        <v>XML3_INVALID_MA_DICH_VU (7.344 HS)</v>
      </c>
      <c r="G75" s="6"/>
    </row>
    <row r="76" customFormat="false" ht="16.5" hidden="false" customHeight="true" outlineLevel="0" collapsed="false">
      <c r="A76" s="6" t="str">
        <f aca="false">'Tổng hợp'!A11</f>
        <v>Phòng TCKT</v>
      </c>
      <c r="B76" s="7" t="n">
        <f aca="false">'Tổng hợp'!B11</f>
        <v>1</v>
      </c>
      <c r="C76" s="7" t="n">
        <f aca="false">'Tổng hợp'!C11</f>
        <v>0</v>
      </c>
      <c r="D76" s="7" t="n">
        <f aca="false">'Tổng hợp'!D11</f>
        <v>232</v>
      </c>
      <c r="E76" s="7" t="n">
        <f aca="false">'Tổng hợp'!E11</f>
        <v>0</v>
      </c>
      <c r="F76" s="6" t="str">
        <f aca="false">IF('Tổng hợp'!F11="","",'Tổng hợp'!F11)</f>
        <v>XML3_INVALID_APPROVED_DON_GIA_BH (232 HS)</v>
      </c>
      <c r="G76" s="6"/>
    </row>
    <row r="77" customFormat="false" ht="16.5" hidden="false" customHeight="true" outlineLevel="0" collapsed="false">
      <c r="A77" s="6" t="str">
        <f aca="false">'Tổng hợp'!A12</f>
        <v>Phòng TCCB</v>
      </c>
      <c r="B77" s="7" t="n">
        <f aca="false">'Tổng hợp'!B12</f>
        <v>1</v>
      </c>
      <c r="C77" s="7" t="n">
        <f aca="false">'Tổng hợp'!C12</f>
        <v>0</v>
      </c>
      <c r="D77" s="7" t="n">
        <f aca="false">'Tổng hợp'!D12</f>
        <v>10455</v>
      </c>
      <c r="E77" s="7" t="n">
        <f aca="false">'Tổng hợp'!E12</f>
        <v>0</v>
      </c>
      <c r="F77" s="6" t="str">
        <f aca="false">IF('Tổng hợp'!F12="","",'Tổng hợp'!F12)</f>
        <v>XMLComplete_NVYT_KHONG_CO_TRONG_DM (10.455 HS)</v>
      </c>
      <c r="G77" s="6"/>
    </row>
    <row r="78" customFormat="false" ht="16.5" hidden="false" customHeight="true" outlineLevel="0" collapsed="false">
      <c r="A78" s="6" t="str">
        <f aca="false">'Tổng hợp'!A13</f>
        <v>Khoa lâm sàng</v>
      </c>
      <c r="B78" s="7" t="n">
        <f aca="false">'Tổng hợp'!B13</f>
        <v>33</v>
      </c>
      <c r="C78" s="7" t="n">
        <f aca="false">'Tổng hợp'!C13</f>
        <v>25</v>
      </c>
      <c r="D78" s="7" t="n">
        <f aca="false">'Tổng hợp'!D13</f>
        <v>19204</v>
      </c>
      <c r="E78" s="7" t="n">
        <f aca="false">'Tổng hợp'!E13</f>
        <v>2232</v>
      </c>
      <c r="F78" s="6" t="str">
        <f aca="false">IF('Tổng hợp'!F13="","",'Tổng hợp'!F13)</f>
        <v>XML8_TOMTAT_KQ_TOO_SHORT (7.258 HS)</v>
      </c>
      <c r="G78" s="6"/>
    </row>
    <row r="79" customFormat="false" ht="16.5" hidden="false" customHeight="true" outlineLevel="0" collapsed="false">
      <c r="A79" s="6" t="str">
        <f aca="false">'Tổng hợp'!A14</f>
        <v>Tiếp đón</v>
      </c>
      <c r="B79" s="7" t="n">
        <f aca="false">'Tổng hợp'!B14</f>
        <v>8</v>
      </c>
      <c r="C79" s="7" t="n">
        <f aca="false">'Tổng hợp'!C14</f>
        <v>4</v>
      </c>
      <c r="D79" s="7" t="n">
        <f aca="false">'Tổng hợp'!D14</f>
        <v>451</v>
      </c>
      <c r="E79" s="7" t="n">
        <f aca="false">'Tổng hợp'!E14</f>
        <v>19</v>
      </c>
      <c r="F79" s="6" t="str">
        <f aca="false">IF('Tổng hợp'!F14="","",'Tổng hợp'!F14)</f>
        <v>XML1_ADMIN_INFO_ERROR_SO_CCCD (420 HS)</v>
      </c>
      <c r="G79" s="6"/>
    </row>
    <row r="80" customFormat="false" ht="16.5" hidden="false" customHeight="true" outlineLevel="0" collapsed="false">
      <c r="A80" s="6" t="str">
        <f aca="false">'Tổng hợp'!A15</f>
        <v>Đơn vị PM Tiền giám định</v>
      </c>
      <c r="B80" s="7" t="n">
        <f aca="false">'Tổng hợp'!B15</f>
        <v>0</v>
      </c>
      <c r="C80" s="7" t="n">
        <f aca="false">'Tổng hợp'!C15</f>
        <v>0</v>
      </c>
      <c r="D80" s="7" t="n">
        <f aca="false">'Tổng hợp'!D15</f>
        <v>0</v>
      </c>
      <c r="E80" s="7" t="n">
        <f aca="false">'Tổng hợp'!E15</f>
        <v>0</v>
      </c>
      <c r="F80" s="6" t="str">
        <f aca="false">IF('Tổng hợp'!F15="","",'Tổng hợp'!F15)</f>
        <v>(không còn lỗi)</v>
      </c>
      <c r="G80" s="6"/>
    </row>
    <row r="81" customFormat="false" ht="16.5" hidden="false" customHeight="true" outlineLevel="0" collapsed="false">
      <c r="A81" s="9" t="str">
        <f aca="false">'Tổng hợp'!A16</f>
        <v>Tổng</v>
      </c>
      <c r="B81" s="10" t="n">
        <f aca="false">'Tổng hợp'!B16</f>
        <v>116</v>
      </c>
      <c r="C81" s="10" t="n">
        <f aca="false">'Tổng hợp'!C16</f>
        <v>66</v>
      </c>
      <c r="D81" s="10" t="n">
        <f aca="false">'Tổng hợp'!D16</f>
        <v>157141</v>
      </c>
      <c r="E81" s="10" t="n">
        <f aca="false">'Tổng hợp'!E16</f>
        <v>29564</v>
      </c>
      <c r="F81" s="9" t="str">
        <f aca="false">IF('Tổng hợp'!F16="","",'Tổng hợp'!F16)</f>
        <v/>
      </c>
      <c r="G81" s="9"/>
    </row>
    <row r="82" customFormat="false" ht="15" hidden="false" customHeight="true" outlineLevel="0" collapsed="false">
      <c r="A82" s="2" t="s">
        <v>109</v>
      </c>
      <c r="B82" s="2"/>
      <c r="C82" s="2"/>
      <c r="D82" s="2"/>
      <c r="E82" s="2"/>
      <c r="F82" s="2"/>
      <c r="G82" s="2"/>
    </row>
    <row r="84" customFormat="false" ht="18" hidden="false" customHeight="true" outlineLevel="0" collapsed="false">
      <c r="A84" s="3" t="s">
        <v>110</v>
      </c>
    </row>
    <row r="85" customFormat="false" ht="30" hidden="false" customHeight="true" outlineLevel="0" collapsed="false">
      <c r="A85" s="5" t="s">
        <v>111</v>
      </c>
      <c r="B85" s="5" t="s">
        <v>39</v>
      </c>
      <c r="C85" s="5" t="s">
        <v>40</v>
      </c>
      <c r="D85" s="5" t="s">
        <v>104</v>
      </c>
      <c r="E85" s="5" t="s">
        <v>112</v>
      </c>
      <c r="F85" s="5"/>
      <c r="G85" s="5"/>
    </row>
    <row r="86" customFormat="false" ht="16.5" hidden="false" customHeight="true" outlineLevel="0" collapsed="false">
      <c r="A86" s="6" t="str">
        <f aca="false">'Danh mục lỗi'!B10</f>
        <v>XML3_INVALID_MA_DICH_VU</v>
      </c>
      <c r="B86" s="7" t="n">
        <f aca="false">'Danh mục lỗi'!G10</f>
        <v>7344</v>
      </c>
      <c r="C86" s="13" t="n">
        <f aca="false">'Danh mục lỗi'!G10/$B$30</f>
        <v>0.306421329327826</v>
      </c>
      <c r="D86" s="16" t="str">
        <f aca="false">'Danh mục lỗi'!L10</f>
        <v>Phòng KHTH</v>
      </c>
      <c r="E86" s="6" t="str">
        <f aca="false">'Danh mục lỗi'!D10</f>
        <v>Mã dịch vụ không tồn tại</v>
      </c>
      <c r="F86" s="6"/>
      <c r="G86" s="6"/>
    </row>
    <row r="87" customFormat="false" ht="16.5" hidden="false" customHeight="true" outlineLevel="0" collapsed="false">
      <c r="A87" s="6" t="str">
        <f aca="false">'Danh mục lỗi'!B11</f>
        <v>XML4_INFO_ERROR_MA_DICH_VU_NOT_FOUND</v>
      </c>
      <c r="B87" s="7" t="n">
        <f aca="false">'Danh mục lỗi'!G11</f>
        <v>7332</v>
      </c>
      <c r="C87" s="13" t="n">
        <f aca="false">'Danh mục lỗi'!G11/$B$30</f>
        <v>0.305920640881212</v>
      </c>
      <c r="D87" s="16" t="str">
        <f aca="false">'Danh mục lỗi'!L11</f>
        <v>Phòng KHTH</v>
      </c>
      <c r="E87" s="6" t="str">
        <f aca="false">'Danh mục lỗi'!D11</f>
        <v>Mã dịch vụ không tồn tại</v>
      </c>
      <c r="F87" s="6"/>
      <c r="G87" s="6"/>
    </row>
    <row r="88" customFormat="false" ht="16.5" hidden="false" customHeight="true" outlineLevel="0" collapsed="false">
      <c r="A88" s="6" t="str">
        <f aca="false">'Danh mục lỗi'!B19</f>
        <v>XML4_XN_MISSING_VALUE_RESULT</v>
      </c>
      <c r="B88" s="7" t="n">
        <f aca="false">'Danh mục lỗi'!G19</f>
        <v>3753</v>
      </c>
      <c r="C88" s="13" t="n">
        <f aca="false">'Danh mục lỗi'!G19/$B$30</f>
        <v>0.156590311678558</v>
      </c>
      <c r="D88" s="16" t="str">
        <f aca="false">'Danh mục lỗi'!L19</f>
        <v>CNTT</v>
      </c>
      <c r="E88" s="6" t="str">
        <f aca="false">'Danh mục lỗi'!D19</f>
        <v>Xét nghiệm không nhập giá trị và kết quả</v>
      </c>
      <c r="F88" s="6"/>
      <c r="G88" s="6"/>
    </row>
    <row r="89" customFormat="false" ht="16.5" hidden="false" customHeight="true" outlineLevel="0" collapsed="false">
      <c r="A89" s="6" t="str">
        <f aca="false">'Danh mục lỗi'!B20</f>
        <v>XMLComplete_NVYT_THIEU</v>
      </c>
      <c r="B89" s="7" t="n">
        <f aca="false">'Danh mục lỗi'!G20</f>
        <v>3533</v>
      </c>
      <c r="C89" s="13" t="n">
        <f aca="false">'Danh mục lỗi'!G20/$B$30</f>
        <v>0.147411023490633</v>
      </c>
      <c r="D89" s="16" t="str">
        <f aca="false">'Danh mục lỗi'!L20</f>
        <v>CNTT</v>
      </c>
      <c r="E89" s="6" t="str">
        <f aca="false">'Danh mục lỗi'!D20</f>
        <v>Thiếu mã nhân viên y tế</v>
      </c>
      <c r="F89" s="6"/>
      <c r="G89" s="6"/>
    </row>
    <row r="90" customFormat="false" ht="16.5" hidden="false" customHeight="true" outlineLevel="0" collapsed="false">
      <c r="A90" s="6" t="str">
        <f aca="false">'Danh mục lỗi'!B30</f>
        <v>XML4_INFO_ERROR_NGAY_KQ</v>
      </c>
      <c r="B90" s="7" t="n">
        <f aca="false">'Danh mục lỗi'!G30</f>
        <v>1271</v>
      </c>
      <c r="C90" s="13" t="n">
        <f aca="false">'Danh mục lỗi'!G30/$B$30</f>
        <v>0.0530312513038762</v>
      </c>
      <c r="D90" s="16" t="str">
        <f aca="false">'Danh mục lỗi'!L30</f>
        <v>CNTT</v>
      </c>
      <c r="E90" s="6" t="str">
        <f aca="false">'Danh mục lỗi'!D30</f>
        <v>Thiếu ngày trả kết quả</v>
      </c>
      <c r="F90" s="6"/>
      <c r="G90" s="6"/>
    </row>
    <row r="91" customFormat="false" ht="16.5" hidden="false" customHeight="true" outlineLevel="0" collapsed="false">
      <c r="A91" s="6" t="str">
        <f aca="false">'Danh mục lỗi'!B32</f>
        <v>XML4_INFO_ERROR_GIA_TRI_LENGTH</v>
      </c>
      <c r="B91" s="7" t="n">
        <f aca="false">'Danh mục lỗi'!G32</f>
        <v>1091</v>
      </c>
      <c r="C91" s="13" t="n">
        <f aca="false">'Danh mục lỗi'!G32/$B$30</f>
        <v>0.0455209246046647</v>
      </c>
      <c r="D91" s="16" t="str">
        <f aca="false">'Danh mục lỗi'!L32</f>
        <v>CNTT</v>
      </c>
      <c r="E91" s="6" t="str">
        <f aca="false">'Danh mục lỗi'!D32</f>
        <v>Giá trị quá dài</v>
      </c>
      <c r="F91" s="6"/>
      <c r="G91" s="6"/>
    </row>
    <row r="92" customFormat="false" ht="16.5" hidden="false" customHeight="true" outlineLevel="0" collapsed="false">
      <c r="A92" s="6" t="str">
        <f aca="false">'Danh mục lỗi'!B34</f>
        <v>XML3_INVALID_TEN_DICH_VU</v>
      </c>
      <c r="B92" s="7" t="n">
        <f aca="false">'Danh mục lỗi'!G34</f>
        <v>858</v>
      </c>
      <c r="C92" s="13" t="n">
        <f aca="false">'Danh mục lỗi'!G34/$B$30</f>
        <v>0.0357992239329078</v>
      </c>
      <c r="D92" s="16" t="str">
        <f aca="false">'Danh mục lỗi'!L34</f>
        <v>Phòng KHTH</v>
      </c>
      <c r="E92" s="6" t="str">
        <f aca="false">'Danh mục lỗi'!D34</f>
        <v>Tên dịch vụ kỹ thuật khác tên được phê duyệt</v>
      </c>
      <c r="F92" s="6"/>
      <c r="G92" s="6"/>
    </row>
    <row r="93" customFormat="false" ht="16.5" hidden="false" customHeight="true" outlineLevel="0" collapsed="false">
      <c r="A93" s="6" t="str">
        <f aca="false">'Danh mục lỗi'!B36</f>
        <v>XML7_INFO_ERROR_PP_DIEUTRI</v>
      </c>
      <c r="B93" s="7" t="n">
        <f aca="false">'Danh mục lỗi'!G36</f>
        <v>642</v>
      </c>
      <c r="C93" s="13" t="n">
        <f aca="false">'Danh mục lỗi'!G36/$B$30</f>
        <v>0.0267868318938541</v>
      </c>
      <c r="D93" s="16" t="str">
        <f aca="false">'Danh mục lỗi'!L36</f>
        <v>Khoa lâm sàng</v>
      </c>
      <c r="E93" s="6" t="str">
        <f aca="false">'Danh mục lỗi'!D36</f>
        <v>Thiếu phương pháp điều trị</v>
      </c>
      <c r="F93" s="6"/>
      <c r="G93" s="6"/>
    </row>
    <row r="94" customFormat="false" ht="16.5" hidden="false" customHeight="true" outlineLevel="0" collapsed="false">
      <c r="A94" s="6" t="str">
        <f aca="false">'Danh mục lỗi'!B37</f>
        <v>XML8_INFO_ERROR_PP_DIEUTRI</v>
      </c>
      <c r="B94" s="7" t="n">
        <f aca="false">'Danh mục lỗi'!G37</f>
        <v>636</v>
      </c>
      <c r="C94" s="13" t="n">
        <f aca="false">'Danh mục lỗi'!G37/$B$30</f>
        <v>0.026536487670547</v>
      </c>
      <c r="D94" s="16" t="str">
        <f aca="false">'Danh mục lỗi'!L37</f>
        <v>Khoa lâm sàng</v>
      </c>
      <c r="E94" s="6" t="str">
        <f aca="false">'Danh mục lỗi'!D37</f>
        <v>Thiếu phương pháp điều trị</v>
      </c>
      <c r="F94" s="6"/>
      <c r="G94" s="6"/>
    </row>
    <row r="95" customFormat="false" ht="16.5" hidden="false" customHeight="true" outlineLevel="0" collapsed="false">
      <c r="A95" s="6" t="str">
        <f aca="false">'Danh mục lỗi'!B39</f>
        <v>XMLComplete_MUC_HUONG_EXCEEDS_ENTITLEMENT</v>
      </c>
      <c r="B95" s="7" t="n">
        <f aca="false">'Danh mục lỗi'!G39</f>
        <v>514</v>
      </c>
      <c r="C95" s="13" t="n">
        <f aca="false">'Danh mục lỗi'!G39/$B$30</f>
        <v>0.0214461551299704</v>
      </c>
      <c r="D95" s="16" t="str">
        <f aca="false">'Danh mục lỗi'!L39</f>
        <v>Phòng BHYT</v>
      </c>
      <c r="E95" s="6" t="str">
        <f aca="false">'Danh mục lỗi'!D39</f>
        <v>Mức hưởng khai vượt trần cho phép</v>
      </c>
      <c r="F95" s="6"/>
      <c r="G95" s="6"/>
    </row>
    <row r="97" customFormat="false" ht="18" hidden="false" customHeight="true" outlineLevel="0" collapsed="false">
      <c r="A97" s="3" t="s">
        <v>113</v>
      </c>
    </row>
    <row r="98" customFormat="false" ht="30" hidden="false" customHeight="true" outlineLevel="0" collapsed="false">
      <c r="A98" s="5" t="s">
        <v>111</v>
      </c>
      <c r="B98" s="5" t="s">
        <v>39</v>
      </c>
      <c r="C98" s="5" t="s">
        <v>40</v>
      </c>
      <c r="D98" s="5" t="s">
        <v>104</v>
      </c>
      <c r="E98" s="5" t="s">
        <v>112</v>
      </c>
      <c r="F98" s="5"/>
      <c r="G98" s="5"/>
    </row>
    <row r="99" customFormat="false" ht="16.5" hidden="false" customHeight="true" outlineLevel="0" collapsed="false">
      <c r="A99" s="6" t="str">
        <f aca="false">'Danh mục lỗi'!B5</f>
        <v>XML3_INFO_ERROR_MA_MAY_NOT_FOUND</v>
      </c>
      <c r="B99" s="7" t="n">
        <f aca="false">'Danh mục lỗi'!G5</f>
        <v>18854</v>
      </c>
      <c r="C99" s="13" t="n">
        <f aca="false">'Danh mục lỗi'!G5/$B$30</f>
        <v>0.786664997705178</v>
      </c>
      <c r="D99" s="16" t="str">
        <f aca="false">'Danh mục lỗi'!L5</f>
        <v>Phòng VT-TBYT</v>
      </c>
      <c r="E99" s="6" t="str">
        <f aca="false">'Danh mục lỗi'!D5</f>
        <v>Mã máy không tồn tại trong danh mục trang thiết bị</v>
      </c>
      <c r="F99" s="6"/>
      <c r="G99" s="6"/>
    </row>
    <row r="100" customFormat="false" ht="16.5" hidden="false" customHeight="true" outlineLevel="0" collapsed="false">
      <c r="A100" s="6" t="str">
        <f aca="false">'Danh mục lỗi'!B6</f>
        <v>XML4_CHI_SO_EMPTY</v>
      </c>
      <c r="B100" s="7" t="n">
        <f aca="false">'Danh mục lỗi'!G6</f>
        <v>17415</v>
      </c>
      <c r="C100" s="13" t="n">
        <f aca="false">'Danh mục lỗi'!G6/$B$30</f>
        <v>0.726624108148705</v>
      </c>
      <c r="D100" s="16" t="str">
        <f aca="false">'Danh mục lỗi'!L6</f>
        <v>CNTT</v>
      </c>
      <c r="E100" s="6" t="str">
        <f aca="false">'Danh mục lỗi'!D6</f>
        <v>Mã/tên chỉ số để trống</v>
      </c>
      <c r="F100" s="6"/>
      <c r="G100" s="6"/>
    </row>
    <row r="101" customFormat="false" ht="16.5" hidden="false" customHeight="true" outlineLevel="0" collapsed="false">
      <c r="A101" s="6" t="str">
        <f aca="false">'Danh mục lỗi'!B7</f>
        <v>XMLComplete_NVYT_KHONG_CO_TRONG_DM</v>
      </c>
      <c r="B101" s="7" t="n">
        <f aca="false">'Danh mục lỗi'!G7</f>
        <v>10455</v>
      </c>
      <c r="C101" s="13" t="n">
        <f aca="false">'Danh mục lỗi'!G7/$B$30</f>
        <v>0.43622480911253</v>
      </c>
      <c r="D101" s="16" t="str">
        <f aca="false">'Danh mục lỗi'!L7</f>
        <v>Phòng TCCB</v>
      </c>
      <c r="E101" s="6" t="str">
        <f aca="false">'Danh mục lỗi'!D7</f>
        <v>Mã nhân viên y tế không có trong danh mục NVYT</v>
      </c>
      <c r="F101" s="6"/>
      <c r="G101" s="6"/>
    </row>
    <row r="102" customFormat="false" ht="16.5" hidden="false" customHeight="true" outlineLevel="0" collapsed="false">
      <c r="A102" s="6" t="str">
        <f aca="false">'Danh mục lỗi'!B8</f>
        <v>XML3_INFO_ERROR_GROUP_CODE_MA_MAY</v>
      </c>
      <c r="B102" s="7" t="n">
        <f aca="false">'Danh mục lỗi'!G8</f>
        <v>9985</v>
      </c>
      <c r="C102" s="13" t="n">
        <f aca="false">'Danh mục lỗi'!G8/$B$30</f>
        <v>0.416614511620144</v>
      </c>
      <c r="D102" s="16" t="str">
        <f aca="false">'Danh mục lỗi'!L8</f>
        <v>CNTT</v>
      </c>
      <c r="E102" s="6" t="str">
        <f aca="false">'Danh mục lỗi'!D8</f>
        <v>Thiếu mã máy</v>
      </c>
      <c r="F102" s="6"/>
      <c r="G102" s="6"/>
    </row>
    <row r="103" customFormat="false" ht="16.5" hidden="false" customHeight="true" outlineLevel="0" collapsed="false">
      <c r="A103" s="6" t="str">
        <f aca="false">'Danh mục lỗi'!B9</f>
        <v>XML3_OVERLAPPING_BED_USAGE</v>
      </c>
      <c r="B103" s="7" t="n">
        <f aca="false">'Danh mục lỗi'!G9</f>
        <v>8117</v>
      </c>
      <c r="C103" s="13" t="n">
        <f aca="false">'Danh mục lỗi'!G9/$B$30</f>
        <v>0.338674010097217</v>
      </c>
      <c r="D103" s="16" t="str">
        <f aca="false">'Danh mục lỗi'!L9</f>
        <v>Phòng BHYT</v>
      </c>
      <c r="E103" s="6" t="str">
        <f aca="false">'Danh mục lỗi'!D9</f>
        <v>Giường sử dụng trùng lặp</v>
      </c>
      <c r="F103" s="6"/>
      <c r="G103" s="6"/>
    </row>
    <row r="104" customFormat="false" ht="16.5" hidden="false" customHeight="true" outlineLevel="0" collapsed="false">
      <c r="A104" s="6" t="str">
        <f aca="false">'Danh mục lỗi'!B12</f>
        <v>XML8_TOMTAT_KQ_TOO_SHORT</v>
      </c>
      <c r="B104" s="7" t="n">
        <f aca="false">'Danh mục lỗi'!G12</f>
        <v>7258</v>
      </c>
      <c r="C104" s="13" t="n">
        <f aca="false">'Danh mục lỗi'!G12/$B$30</f>
        <v>0.302833062127091</v>
      </c>
      <c r="D104" s="16" t="str">
        <f aca="false">'Danh mục lỗi'!L12</f>
        <v>Khoa lâm sàng</v>
      </c>
      <c r="E104" s="6" t="str">
        <f aca="false">'Danh mục lỗi'!D12</f>
        <v>Tóm tắt kết quả quá ngắn</v>
      </c>
      <c r="F104" s="6"/>
      <c r="G104" s="6"/>
    </row>
    <row r="105" customFormat="false" ht="16.5" hidden="false" customHeight="true" outlineLevel="0" collapsed="false">
      <c r="A105" s="6" t="str">
        <f aca="false">'Danh mục lỗi'!B13</f>
        <v>XML2_INVALID_DANG_BAO_CHE</v>
      </c>
      <c r="B105" s="7" t="n">
        <f aca="false">'Danh mục lỗi'!G13</f>
        <v>7033</v>
      </c>
      <c r="C105" s="13" t="n">
        <f aca="false">'Danh mục lỗi'!G13/$B$30</f>
        <v>0.293445153753077</v>
      </c>
      <c r="D105" s="16" t="str">
        <f aca="false">'Danh mục lỗi'!L13</f>
        <v>Khoa Dược</v>
      </c>
      <c r="E105" s="6" t="str">
        <f aca="false">'Danh mục lỗi'!D13</f>
        <v>Dạng bào chế không khớp danh mục</v>
      </c>
      <c r="F105" s="6"/>
      <c r="G105" s="6"/>
    </row>
    <row r="106" customFormat="false" ht="16.5" hidden="false" customHeight="true" outlineLevel="0" collapsed="false">
      <c r="A106" s="6" t="str">
        <f aca="false">'Danh mục lỗi'!B14</f>
        <v>XML3_NGAY_TH_YL_EQUALS_NGAY_KQ</v>
      </c>
      <c r="B106" s="7" t="n">
        <f aca="false">'Danh mục lỗi'!G14</f>
        <v>6758</v>
      </c>
      <c r="C106" s="13" t="n">
        <f aca="false">'Danh mục lỗi'!G14/$B$30</f>
        <v>0.281971043518171</v>
      </c>
      <c r="D106" s="16" t="str">
        <f aca="false">'Danh mục lỗi'!L14</f>
        <v>CNTT</v>
      </c>
      <c r="E106" s="6" t="str">
        <f aca="false">'Danh mục lỗi'!D14</f>
        <v>Thời gian thực hiện y lệnh trùng thời gian kết quả</v>
      </c>
      <c r="F106" s="6"/>
      <c r="G106" s="6"/>
    </row>
    <row r="107" customFormat="false" ht="16.5" hidden="false" customHeight="true" outlineLevel="0" collapsed="false">
      <c r="A107" s="6" t="str">
        <f aca="false">'Danh mục lỗi'!B15</f>
        <v>XML3_EXECUTION_TIME_UNDER_3MIN</v>
      </c>
      <c r="B107" s="7" t="n">
        <f aca="false">'Danh mục lỗi'!G15</f>
        <v>4865</v>
      </c>
      <c r="C107" s="13" t="n">
        <f aca="false">'Danh mục lỗi'!G15/$B$30</f>
        <v>0.202987441064797</v>
      </c>
      <c r="D107" s="16" t="str">
        <f aca="false">'Danh mục lỗi'!L15</f>
        <v>CNTT</v>
      </c>
      <c r="E107" s="6" t="str">
        <f aca="false">'Danh mục lỗi'!D15</f>
        <v>Thời gian thực hiện nhỏ hơn quy định</v>
      </c>
      <c r="F107" s="6"/>
      <c r="G107" s="6"/>
    </row>
    <row r="108" customFormat="false" ht="16.5" hidden="false" customHeight="true" outlineLevel="0" collapsed="false">
      <c r="A108" s="6" t="str">
        <f aca="false">'Danh mục lỗi'!B16</f>
        <v>XML3_SAME_DOCTOR_ORDER_AND_EXECUTE</v>
      </c>
      <c r="B108" s="7" t="n">
        <f aca="false">'Danh mục lỗi'!G16</f>
        <v>4779</v>
      </c>
      <c r="C108" s="13" t="n">
        <f aca="false">'Danh mục lỗi'!G16/$B$30</f>
        <v>0.199399173864063</v>
      </c>
      <c r="D108" s="16" t="str">
        <f aca="false">'Danh mục lỗi'!L16</f>
        <v>Khoa lâm sàng</v>
      </c>
      <c r="E108" s="6" t="str">
        <f aca="false">'Danh mục lỗi'!D16</f>
        <v>Bác sĩ vừa ra y lệnh vừa thực hiện</v>
      </c>
      <c r="F108" s="6"/>
      <c r="G108" s="6"/>
    </row>
    <row r="110" customFormat="false" ht="18" hidden="false" customHeight="true" outlineLevel="0" collapsed="false">
      <c r="A110" s="3" t="s">
        <v>114</v>
      </c>
    </row>
    <row r="111" customFormat="false" ht="30" hidden="false" customHeight="true" outlineLevel="0" collapsed="false">
      <c r="A111" s="5" t="s">
        <v>7</v>
      </c>
      <c r="B111" s="5" t="s">
        <v>115</v>
      </c>
      <c r="C111" s="5" t="s">
        <v>116</v>
      </c>
      <c r="D111" s="5" t="s">
        <v>117</v>
      </c>
      <c r="E111" s="5" t="s">
        <v>9</v>
      </c>
      <c r="F111" s="5"/>
      <c r="G111" s="5"/>
    </row>
    <row r="112" customFormat="false" ht="16.5" hidden="false" customHeight="true" outlineLevel="0" collapsed="false">
      <c r="A112" s="6" t="s">
        <v>118</v>
      </c>
      <c r="B112" s="7" t="n">
        <v>11447</v>
      </c>
      <c r="C112" s="7" t="n">
        <v>11087</v>
      </c>
      <c r="D112" s="17" t="n">
        <f aca="false">C112-B112</f>
        <v>-360</v>
      </c>
      <c r="E112" s="6" t="s">
        <v>119</v>
      </c>
      <c r="F112" s="6"/>
      <c r="G112" s="6"/>
    </row>
    <row r="113" customFormat="false" ht="16.5" hidden="false" customHeight="true" outlineLevel="0" collapsed="false">
      <c r="A113" s="6" t="s">
        <v>120</v>
      </c>
      <c r="B113" s="7" t="n">
        <v>1936</v>
      </c>
      <c r="C113" s="7" t="n">
        <v>1981</v>
      </c>
      <c r="D113" s="17" t="n">
        <f aca="false">C113-B113</f>
        <v>45</v>
      </c>
      <c r="E113" s="6"/>
      <c r="F113" s="6"/>
      <c r="G113" s="6"/>
    </row>
    <row r="114" customFormat="false" ht="16.5" hidden="false" customHeight="true" outlineLevel="0" collapsed="false">
      <c r="A114" s="6" t="s">
        <v>121</v>
      </c>
      <c r="B114" s="7" t="n">
        <f aca="false">INDEX('Danh mục lỗi'!$P$5:$P$222,MATCH("XML4_INFO_ERROR_NGAY_KQ",'Danh mục lỗi'!$B$5:$B$222,0))</f>
        <v>1912</v>
      </c>
      <c r="C114" s="7" t="n">
        <f aca="false">INDEX('Danh mục lỗi'!$G$5:$G$222,MATCH("XML4_INFO_ERROR_NGAY_KQ",'Danh mục lỗi'!$B$5:$B$222,0))</f>
        <v>1271</v>
      </c>
      <c r="D114" s="17" t="n">
        <f aca="false">C114-B114</f>
        <v>-641</v>
      </c>
      <c r="E114" s="6" t="s">
        <v>122</v>
      </c>
      <c r="F114" s="6"/>
      <c r="G114" s="6"/>
    </row>
    <row r="115" customFormat="false" ht="16.5" hidden="false" customHeight="true" outlineLevel="0" collapsed="false">
      <c r="A115" s="6" t="s">
        <v>123</v>
      </c>
      <c r="B115" s="7" t="n">
        <f aca="false">INDEX('Danh mục lỗi'!$P$5:$P$222,MATCH("XMLComplete_NVYT_THIEU",'Danh mục lỗi'!$B$5:$B$222,0))</f>
        <v>4050</v>
      </c>
      <c r="C115" s="7" t="n">
        <f aca="false">INDEX('Danh mục lỗi'!$G$5:$G$222,MATCH("XMLComplete_NVYT_THIEU",'Danh mục lỗi'!$B$5:$B$222,0))</f>
        <v>3533</v>
      </c>
      <c r="D115" s="17" t="n">
        <f aca="false">C115-B115</f>
        <v>-517</v>
      </c>
      <c r="E115" s="6" t="s">
        <v>124</v>
      </c>
      <c r="F115" s="6"/>
      <c r="G115" s="6"/>
    </row>
    <row r="116" customFormat="false" ht="16.5" hidden="false" customHeight="true" outlineLevel="0" collapsed="false">
      <c r="A116" s="6" t="s">
        <v>125</v>
      </c>
      <c r="B116" s="7" t="n">
        <f aca="false">INDEX('Danh mục lỗi'!$P$5:$P$222,MATCH("XMLComplete_NVYT_SAI_DINH_DANG",'Danh mục lỗi'!$B$5:$B$222,0))</f>
        <v>4401</v>
      </c>
      <c r="C116" s="7" t="n">
        <f aca="false">INDEX('Danh mục lỗi'!$G$5:$G$222,MATCH("XMLComplete_NVYT_SAI_DINH_DANG",'Danh mục lỗi'!$B$5:$B$222,0))</f>
        <v>4141</v>
      </c>
      <c r="D116" s="17" t="n">
        <f aca="false">C116-B116</f>
        <v>-260</v>
      </c>
      <c r="E116" s="6" t="s">
        <v>124</v>
      </c>
      <c r="F116" s="6"/>
      <c r="G116" s="6"/>
    </row>
    <row r="117" customFormat="false" ht="16.5" hidden="false" customHeight="true" outlineLevel="0" collapsed="false">
      <c r="A117" s="6" t="s">
        <v>126</v>
      </c>
      <c r="B117" s="7" t="n">
        <f aca="false">INDEX('Danh mục lỗi'!$P$5:$P$222,MATCH("XML3_MA_DICH_VU_TB_CO_DON_GIA",'Danh mục lỗi'!$B$5:$B$222,0))</f>
        <v>193</v>
      </c>
      <c r="C117" s="7" t="n">
        <f aca="false">INDEX('Danh mục lỗi'!$G$5:$G$222,MATCH("XML3_MA_DICH_VU_TB_CO_DON_GIA",'Danh mục lỗi'!$B$5:$B$222,0))</f>
        <v>0</v>
      </c>
      <c r="D117" s="17" t="n">
        <f aca="false">C117-B117</f>
        <v>-193</v>
      </c>
      <c r="E117" s="6" t="s">
        <v>127</v>
      </c>
      <c r="F117" s="6"/>
      <c r="G117" s="6"/>
    </row>
    <row r="118" customFormat="false" ht="16.5" hidden="false" customHeight="true" outlineLevel="0" collapsed="false">
      <c r="A118" s="6" t="s">
        <v>128</v>
      </c>
      <c r="B118" s="7" t="n">
        <f aca="false">INDEX('Danh mục lỗi'!$P$5:$P$222,MATCH("XML3_INVALID_NGAY_KQ",'Danh mục lỗi'!$B$5:$B$222,0))</f>
        <v>1110</v>
      </c>
      <c r="C118" s="7" t="n">
        <f aca="false">INDEX('Danh mục lỗi'!$G$5:$G$222,MATCH("XML3_INVALID_NGAY_KQ",'Danh mục lỗi'!$B$5:$B$222,0))</f>
        <v>2031</v>
      </c>
      <c r="D118" s="17" t="n">
        <f aca="false">C118-B118</f>
        <v>921</v>
      </c>
      <c r="E118" s="6" t="s">
        <v>129</v>
      </c>
      <c r="F118" s="6"/>
      <c r="G118" s="6"/>
    </row>
    <row r="119" customFormat="false" ht="25.5" hidden="false" customHeight="true" outlineLevel="0" collapsed="false">
      <c r="A119" s="2" t="s">
        <v>130</v>
      </c>
      <c r="B119" s="2"/>
      <c r="C119" s="2"/>
      <c r="D119" s="2"/>
      <c r="E119" s="2"/>
      <c r="F119" s="2"/>
      <c r="G119" s="2"/>
    </row>
    <row r="121" customFormat="false" ht="18" hidden="false" customHeight="true" outlineLevel="0" collapsed="false">
      <c r="A121" s="3" t="s">
        <v>131</v>
      </c>
    </row>
    <row r="122" customFormat="false" ht="30" hidden="false" customHeight="true" outlineLevel="0" collapsed="false">
      <c r="A122" s="5" t="s">
        <v>132</v>
      </c>
      <c r="B122" s="5" t="s">
        <v>133</v>
      </c>
      <c r="C122" s="5"/>
      <c r="D122" s="5"/>
      <c r="E122" s="5"/>
      <c r="F122" s="5"/>
      <c r="G122" s="5" t="s">
        <v>134</v>
      </c>
    </row>
    <row r="123" customFormat="false" ht="43.5" hidden="false" customHeight="true" outlineLevel="0" collapsed="false">
      <c r="A123" s="6" t="s">
        <v>135</v>
      </c>
      <c r="B123" s="6" t="s">
        <v>136</v>
      </c>
      <c r="C123" s="6"/>
      <c r="D123" s="6"/>
      <c r="E123" s="6"/>
      <c r="F123" s="6"/>
      <c r="G123" s="6" t="s">
        <v>137</v>
      </c>
    </row>
    <row r="124" customFormat="false" ht="30" hidden="false" customHeight="true" outlineLevel="0" collapsed="false">
      <c r="A124" s="6" t="s">
        <v>138</v>
      </c>
      <c r="B124" s="6" t="s">
        <v>139</v>
      </c>
      <c r="C124" s="6"/>
      <c r="D124" s="6"/>
      <c r="E124" s="6"/>
      <c r="F124" s="6"/>
      <c r="G124" s="6" t="s">
        <v>140</v>
      </c>
    </row>
    <row r="125" customFormat="false" ht="30" hidden="false" customHeight="true" outlineLevel="0" collapsed="false">
      <c r="A125" s="6" t="s">
        <v>141</v>
      </c>
      <c r="B125" s="6" t="s">
        <v>142</v>
      </c>
      <c r="C125" s="6"/>
      <c r="D125" s="6"/>
      <c r="E125" s="6"/>
      <c r="F125" s="6"/>
      <c r="G125" s="6" t="s">
        <v>143</v>
      </c>
    </row>
    <row r="126" customFormat="false" ht="43.5" hidden="false" customHeight="true" outlineLevel="0" collapsed="false">
      <c r="A126" s="6" t="s">
        <v>144</v>
      </c>
      <c r="B126" s="6" t="s">
        <v>145</v>
      </c>
      <c r="C126" s="6"/>
      <c r="D126" s="6"/>
      <c r="E126" s="6"/>
      <c r="F126" s="6"/>
      <c r="G126" s="6" t="s">
        <v>146</v>
      </c>
    </row>
    <row r="127" customFormat="false" ht="30" hidden="false" customHeight="true" outlineLevel="0" collapsed="false">
      <c r="A127" s="6" t="s">
        <v>144</v>
      </c>
      <c r="B127" s="6" t="s">
        <v>147</v>
      </c>
      <c r="C127" s="6"/>
      <c r="D127" s="6"/>
      <c r="E127" s="6"/>
      <c r="F127" s="6"/>
      <c r="G127" s="6" t="s">
        <v>148</v>
      </c>
    </row>
    <row r="128" customFormat="false" ht="30" hidden="false" customHeight="true" outlineLevel="0" collapsed="false">
      <c r="A128" s="6" t="s">
        <v>149</v>
      </c>
      <c r="B128" s="6" t="s">
        <v>150</v>
      </c>
      <c r="C128" s="6"/>
      <c r="D128" s="6"/>
      <c r="E128" s="6"/>
      <c r="F128" s="6"/>
      <c r="G128" s="6" t="s">
        <v>151</v>
      </c>
    </row>
    <row r="130" customFormat="false" ht="18" hidden="false" customHeight="true" outlineLevel="0" collapsed="false">
      <c r="A130" s="3" t="s">
        <v>152</v>
      </c>
    </row>
    <row r="131" customFormat="false" ht="30" hidden="false" customHeight="true" outlineLevel="0" collapsed="false">
      <c r="A131" s="5" t="s">
        <v>153</v>
      </c>
      <c r="B131" s="5" t="s">
        <v>154</v>
      </c>
      <c r="C131" s="5"/>
      <c r="D131" s="5"/>
      <c r="E131" s="5"/>
      <c r="F131" s="5"/>
      <c r="G131" s="5" t="s">
        <v>155</v>
      </c>
    </row>
    <row r="132" customFormat="false" ht="30" hidden="false" customHeight="true" outlineLevel="0" collapsed="false">
      <c r="A132" s="6" t="str">
        <f aca="false">'Trọng tâm theo đơn vị'!B5</f>
        <v>CNTT + hãng PACS/LIS</v>
      </c>
      <c r="B132" s="16" t="str">
        <f aca="false">'Trọng tâm theo đơn vị'!E5</f>
        <v>XMLComplete_NVYT_SAI_DINH_DANG (BS đọc KQ XML4): 3.274 HS</v>
      </c>
      <c r="C132" s="16"/>
      <c r="D132" s="16"/>
      <c r="E132" s="16"/>
      <c r="F132" s="16"/>
      <c r="G132" s="6" t="str">
        <f aca="false">'Trọng tâm theo đơn vị'!F5</f>
        <v>Kết nối PACS/LIS ánh xạ tài khoản → mã CCHN; cấm ký kết quả bằng tài khoản dùng chung</v>
      </c>
    </row>
    <row r="133" customFormat="false" ht="30" hidden="false" customHeight="true" outlineLevel="0" collapsed="false">
      <c r="A133" s="6" t="str">
        <f aca="false">'Trọng tâm theo đơn vị'!B6</f>
        <v>CNTT + hãng LIS (Mitalab)</v>
      </c>
      <c r="B133" s="16" t="str">
        <f aca="false">'Trọng tâm theo đơn vị'!E6</f>
        <v>XML4_CHI_SO_EMPTY: 17.415 HS</v>
      </c>
      <c r="C133" s="16"/>
      <c r="D133" s="16"/>
      <c r="E133" s="16"/>
      <c r="F133" s="16"/>
      <c r="G133" s="6" t="str">
        <f aca="false">'Trọng tâm theo đơn vị'!F6</f>
        <v>Bổ sung ánh xạ chỉ số trên LIS cho các xét nghiệm bị lỗi</v>
      </c>
    </row>
    <row r="134" customFormat="false" ht="30" hidden="false" customHeight="true" outlineLevel="0" collapsed="false">
      <c r="A134" s="6" t="str">
        <f aca="false">'Trọng tâm theo đơn vị'!B7</f>
        <v>CNTT</v>
      </c>
      <c r="B134" s="16" t="str">
        <f aca="false">'Trọng tâm theo đơn vị'!E7</f>
        <v>XMLComplete_NVYT_SAI_DINH_DANG (phần số định danh)</v>
      </c>
      <c r="C134" s="16"/>
      <c r="D134" s="16"/>
      <c r="E134" s="16"/>
      <c r="F134" s="16"/>
      <c r="G134" s="6" t="str">
        <f aca="false">'Trọng tâm theo đơn vị'!F7</f>
        <v>Xuất mã CCHN/GPHN, không xuất số định danh</v>
      </c>
    </row>
    <row r="135" customFormat="false" ht="30" hidden="false" customHeight="true" outlineLevel="0" collapsed="false">
      <c r="A135" s="6" t="str">
        <f aca="false">'Trọng tâm theo đơn vị'!B8</f>
        <v>CNTT</v>
      </c>
      <c r="B135" s="16" t="str">
        <f aca="false">'Trọng tâm theo đơn vị'!E8</f>
        <v>UNDER_3MIN 4.865; NGAY_TH_YL = NGAY_KQ 6.758; dài bất thường (mới, cảnh báo) 438 HS</v>
      </c>
      <c r="C135" s="16"/>
      <c r="D135" s="16"/>
      <c r="E135" s="16"/>
      <c r="F135" s="16"/>
      <c r="G135" s="6" t="str">
        <f aca="false">'Trọng tâm theo đơn vị'!F8</f>
        <v>Lấy giờ bắt đầu/kết thúc thật từ thiết bị/phiếu thực hiện</v>
      </c>
    </row>
    <row r="136" customFormat="false" ht="30" hidden="false" customHeight="true" outlineLevel="0" collapsed="false">
      <c r="A136" s="6" t="str">
        <f aca="false">'Trọng tâm theo đơn vị'!B9</f>
        <v>CNTT</v>
      </c>
      <c r="B136" s="16" t="str">
        <f aca="false">'Trọng tâm theo đơn vị'!E9</f>
        <v>Người TH trống 3.105; mã máy trống 9.985; thủ trưởng đơn vị 373 HS</v>
      </c>
      <c r="C136" s="16"/>
      <c r="D136" s="16"/>
      <c r="E136" s="16"/>
      <c r="F136" s="16"/>
      <c r="G136" s="6" t="str">
        <f aca="false">'Trọng tâm theo đơn vị'!F9</f>
        <v>Bắt buộc nhập trên HIS; cấu hình người ký thủ trưởng cho từng loại giấy</v>
      </c>
    </row>
    <row r="137" customFormat="false" ht="30" hidden="false" customHeight="true" outlineLevel="0" collapsed="false">
      <c r="A137" s="6" t="str">
        <f aca="false">'Trọng tâm theo đơn vị'!B10</f>
        <v>Phòng KHTH</v>
      </c>
      <c r="B137" s="16" t="str">
        <f aca="false">'Trọng tâm theo đơn vị'!E10</f>
        <v>INVALID_MA_DICH_VU 7.344; XML4 mã DV 7.332; sai tên 858 HS</v>
      </c>
      <c r="C137" s="16"/>
      <c r="D137" s="16"/>
      <c r="E137" s="16"/>
      <c r="F137" s="16"/>
      <c r="G137" s="6" t="str">
        <f aca="false">'Trọng tâm theo đơn vị'!F10</f>
        <v>Nhập đủ danh mục DVKT đã phê duyệt cho 01929</v>
      </c>
    </row>
    <row r="138" customFormat="false" ht="30" hidden="false" customHeight="true" outlineLevel="0" collapsed="false">
      <c r="A138" s="6" t="str">
        <f aca="false">'Trọng tâm theo đơn vị'!B11</f>
        <v>Phòng TCCB + Phòng BHYT</v>
      </c>
      <c r="B138" s="16" t="str">
        <f aca="false">'Trọng tâm theo đơn vị'!E11</f>
        <v>XMLComplete_NVYT_KHONG_CO_TRONG_DM 10.455 HS: người TH XML3 9.714; BS đọc KQ XML4 9.292; BS chỉ định XML3 1.535; XML5 1.159; XML2 1.134; XML14 407</v>
      </c>
      <c r="C138" s="16"/>
      <c r="D138" s="16"/>
      <c r="E138" s="16"/>
      <c r="F138" s="16"/>
      <c r="G138" s="6" t="str">
        <f aca="false">'Trọng tâm theo đơn vị'!F11</f>
        <v>Rà soát, đăng ký bổ sung NVYT lên cổng; cập nhật DM NVYT vào phần mềm</v>
      </c>
    </row>
    <row r="139" customFormat="false" ht="30" hidden="false" customHeight="true" outlineLevel="0" collapsed="false">
      <c r="A139" s="6" t="str">
        <f aca="false">'Trọng tâm theo đơn vị'!B12</f>
        <v>Phòng TCKT</v>
      </c>
      <c r="B139" s="16" t="str">
        <f aca="false">'Trọng tâm theo đơn vị'!E12</f>
        <v>XML3_INVALID_APPROVED_DON_GIA_BH: 232 HS</v>
      </c>
      <c r="C139" s="16"/>
      <c r="D139" s="16"/>
      <c r="E139" s="16"/>
      <c r="F139" s="16"/>
      <c r="G139" s="6" t="str">
        <f aca="false">'Trọng tâm theo đơn vị'!F12</f>
        <v>Đối chiếu bảng giá</v>
      </c>
    </row>
    <row r="140" customFormat="false" ht="30" hidden="false" customHeight="true" outlineLevel="0" collapsed="false">
      <c r="A140" s="6" t="str">
        <f aca="false">'Trọng tâm theo đơn vị'!B13</f>
        <v>Phòng VT-TBYT</v>
      </c>
      <c r="B140" s="16" t="str">
        <f aca="false">'Trọng tâm theo đơn vị'!E13</f>
        <v>Mã máy không có 18.854; VTYT ngoài DM 72; sai tên 475 HS</v>
      </c>
      <c r="C140" s="16"/>
      <c r="D140" s="16"/>
      <c r="E140" s="16"/>
      <c r="F140" s="16"/>
      <c r="G140" s="6" t="str">
        <f aca="false">'Trọng tâm theo đơn vị'!F13</f>
        <v>Cập nhật danh mục TTB, VTYT theo thầu</v>
      </c>
    </row>
    <row r="141" customFormat="false" ht="30" hidden="false" customHeight="true" outlineLevel="0" collapsed="false">
      <c r="A141" s="6" t="str">
        <f aca="false">'Trọng tâm theo đơn vị'!B14</f>
        <v>Khoa Dược</v>
      </c>
      <c r="B141" s="16" t="str">
        <f aca="false">'Trọng tâm theo đơn vị'!E14</f>
        <v>Dạng bào chế 7.033; ĐVT: đã tắt kiểm 15/10; đường dùng 2.231; mã 396; tên 2.089 HS</v>
      </c>
      <c r="C141" s="16"/>
      <c r="D141" s="16"/>
      <c r="E141" s="16"/>
      <c r="F141" s="16"/>
      <c r="G141" s="6" t="str">
        <f aca="false">'Trọng tâm theo đơn vị'!F14</f>
        <v>Đối chiếu, sửa danh mục thuốc HIS (luật hàm lượng/thầu đã sửa 12/10 – số liệu trước đó có báo nhầm)</v>
      </c>
    </row>
    <row r="142" customFormat="false" ht="30" hidden="false" customHeight="true" outlineLevel="0" collapsed="false">
      <c r="A142" s="6" t="str">
        <f aca="false">'Trọng tâm theo đơn vị'!B15</f>
        <v>Phòng BHYT</v>
      </c>
      <c r="B142" s="16" t="str">
        <f aca="false">'Trọng tâm theo đơn vị'!E15</f>
        <v>Trùng giường 8.117; ngày cộng TT39 1.264; thừa công khám 480; mức hưởng 514 HS</v>
      </c>
      <c r="C142" s="16"/>
      <c r="D142" s="16"/>
      <c r="E142" s="16"/>
      <c r="F142" s="16"/>
      <c r="G142" s="6" t="str">
        <f aca="false">'Trọng tâm theo đơn vị'!F15</f>
        <v>Rà quy tắc ngày giường/công khám/mức hưởng trên HIS cùng CNTT; giám sát tiếp đón</v>
      </c>
    </row>
    <row r="143" customFormat="false" ht="30" hidden="false" customHeight="true" outlineLevel="0" collapsed="false">
      <c r="A143" s="6" t="str">
        <f aca="false">'Trọng tâm theo đơn vị'!B16</f>
        <v>Khoa lâm sàng (qua Phòng KHTH)</v>
      </c>
      <c r="B143" s="16" t="str">
        <f aca="false">'Trọng tâm theo đơn vị'!E16</f>
        <v>Cùng BS 4.779; tóm tắt ngắn 7.258; diễn biến trùng 1.583 HS</v>
      </c>
      <c r="C143" s="16"/>
      <c r="D143" s="16"/>
      <c r="E143" s="16"/>
      <c r="F143" s="16"/>
      <c r="G143" s="6" t="str">
        <f aca="false">'Trọng tâm theo đơn vị'!F16</f>
        <v>Phổ biến quy định, kiểm tra hồ sơ trước khi khoá bệnh án</v>
      </c>
    </row>
    <row r="144" customFormat="false" ht="30" hidden="false" customHeight="true" outlineLevel="0" collapsed="false">
      <c r="A144" s="6" t="str">
        <f aca="false">'Trọng tâm theo đơn vị'!B17</f>
        <v>Tiếp đón</v>
      </c>
      <c r="B144" s="16" t="str">
        <f aca="false">'Trọng tâm theo đơn vị'!E17</f>
        <v>CCCD 420 HS</v>
      </c>
      <c r="C144" s="16"/>
      <c r="D144" s="16"/>
      <c r="E144" s="16"/>
      <c r="F144" s="16"/>
      <c r="G144" s="6" t="str">
        <f aca="false">'Trọng tâm theo đơn vị'!F17</f>
        <v>Nhập đủ tại tiếp đón</v>
      </c>
    </row>
    <row r="145" customFormat="false" ht="30" hidden="false" customHeight="true" outlineLevel="0" collapsed="false">
      <c r="A145" s="6" t="str">
        <f aca="false">'Trọng tâm theo đơn vị'!B18</f>
        <v>Đơn vị PM Tiền giám định</v>
      </c>
      <c r="B145" s="16" t="str">
        <f aca="false">'Trọng tâm theo đơn vị'!E18</f>
        <v>XML1_ADMIN_INFO_ERROR_MA_CSKCB_NOT_FOUND: 0 HS</v>
      </c>
      <c r="C145" s="16"/>
      <c r="D145" s="16"/>
      <c r="E145" s="16"/>
      <c r="F145" s="16"/>
      <c r="G145" s="6" t="str">
        <f aca="false">'Trọng tâm theo đơn vị'!F18</f>
        <v>Đã bổ sung 37470 vào DM CSKCB — không cần xử lý thêm</v>
      </c>
    </row>
    <row r="147" customFormat="false" ht="18" hidden="false" customHeight="true" outlineLevel="0" collapsed="false">
      <c r="A147" s="3" t="s">
        <v>156</v>
      </c>
    </row>
    <row r="148" customFormat="false" ht="30" hidden="false" customHeight="true" outlineLevel="0" collapsed="false">
      <c r="A148" s="5" t="s">
        <v>157</v>
      </c>
      <c r="B148" s="5" t="s">
        <v>133</v>
      </c>
      <c r="C148" s="5"/>
      <c r="D148" s="5"/>
      <c r="E148" s="5"/>
      <c r="F148" s="5"/>
      <c r="G148" s="5" t="s">
        <v>158</v>
      </c>
    </row>
    <row r="149" customFormat="false" ht="30" hidden="false" customHeight="true" outlineLevel="0" collapsed="false">
      <c r="A149" s="6" t="s">
        <v>159</v>
      </c>
      <c r="B149" s="6" t="s">
        <v>160</v>
      </c>
      <c r="C149" s="6"/>
      <c r="D149" s="6"/>
      <c r="E149" s="6"/>
      <c r="F149" s="6"/>
      <c r="G149" s="6" t="s">
        <v>161</v>
      </c>
    </row>
    <row r="150" customFormat="false" ht="30" hidden="false" customHeight="true" outlineLevel="0" collapsed="false">
      <c r="A150" s="6" t="s">
        <v>162</v>
      </c>
      <c r="B150" s="6" t="s">
        <v>163</v>
      </c>
      <c r="C150" s="6"/>
      <c r="D150" s="6"/>
      <c r="E150" s="6"/>
      <c r="F150" s="6"/>
      <c r="G150" s="6" t="s">
        <v>164</v>
      </c>
    </row>
    <row r="151" customFormat="false" ht="30" hidden="false" customHeight="true" outlineLevel="0" collapsed="false">
      <c r="A151" s="6" t="s">
        <v>165</v>
      </c>
      <c r="B151" s="6" t="s">
        <v>166</v>
      </c>
      <c r="C151" s="6"/>
      <c r="D151" s="6"/>
      <c r="E151" s="6"/>
      <c r="F151" s="6"/>
      <c r="G151" s="6" t="s">
        <v>167</v>
      </c>
    </row>
    <row r="152" customFormat="false" ht="30" hidden="false" customHeight="true" outlineLevel="0" collapsed="false">
      <c r="A152" s="6" t="s">
        <v>168</v>
      </c>
      <c r="B152" s="6" t="s">
        <v>169</v>
      </c>
      <c r="C152" s="6"/>
      <c r="D152" s="6"/>
      <c r="E152" s="6"/>
      <c r="F152" s="6"/>
      <c r="G152" s="6" t="s">
        <v>170</v>
      </c>
    </row>
    <row r="153" customFormat="false" ht="30" hidden="false" customHeight="true" outlineLevel="0" collapsed="false">
      <c r="A153" s="6" t="s">
        <v>171</v>
      </c>
      <c r="B153" s="6" t="s">
        <v>172</v>
      </c>
      <c r="C153" s="6"/>
      <c r="D153" s="6"/>
      <c r="E153" s="6"/>
      <c r="F153" s="6"/>
      <c r="G153" s="6" t="s">
        <v>173</v>
      </c>
    </row>
    <row r="154" customFormat="false" ht="30" hidden="false" customHeight="true" outlineLevel="0" collapsed="false">
      <c r="A154" s="6" t="s">
        <v>174</v>
      </c>
      <c r="B154" s="6" t="s">
        <v>175</v>
      </c>
      <c r="C154" s="6"/>
      <c r="D154" s="6"/>
      <c r="E154" s="6"/>
      <c r="F154" s="6"/>
      <c r="G154" s="6" t="s">
        <v>176</v>
      </c>
    </row>
    <row r="155" customFormat="false" ht="30" hidden="false" customHeight="true" outlineLevel="0" collapsed="false">
      <c r="A155" s="6" t="s">
        <v>9</v>
      </c>
      <c r="B155" s="6" t="s">
        <v>177</v>
      </c>
      <c r="C155" s="6"/>
      <c r="D155" s="6"/>
      <c r="E155" s="6"/>
      <c r="F155" s="6"/>
      <c r="G155" s="6" t="s">
        <v>178</v>
      </c>
    </row>
  </sheetData>
  <mergeCells count="116">
    <mergeCell ref="A2:G2"/>
    <mergeCell ref="A5:G5"/>
    <mergeCell ref="A6:G6"/>
    <mergeCell ref="A7:G7"/>
    <mergeCell ref="C10:G10"/>
    <mergeCell ref="C11:G11"/>
    <mergeCell ref="C12:G12"/>
    <mergeCell ref="C13:G13"/>
    <mergeCell ref="C14:G14"/>
    <mergeCell ref="C15:G15"/>
    <mergeCell ref="C16:G16"/>
    <mergeCell ref="C17:G17"/>
    <mergeCell ref="C18:G18"/>
    <mergeCell ref="C19:G19"/>
    <mergeCell ref="C20:G20"/>
    <mergeCell ref="C21:G21"/>
    <mergeCell ref="C22:G22"/>
    <mergeCell ref="C23:G23"/>
    <mergeCell ref="C24:G24"/>
    <mergeCell ref="C25:G25"/>
    <mergeCell ref="C26:G26"/>
    <mergeCell ref="F29:G29"/>
    <mergeCell ref="F30:G30"/>
    <mergeCell ref="F31:G31"/>
    <mergeCell ref="F32:G32"/>
    <mergeCell ref="F33:G33"/>
    <mergeCell ref="D34:G34"/>
    <mergeCell ref="D35:G35"/>
    <mergeCell ref="D36:G36"/>
    <mergeCell ref="F55:G55"/>
    <mergeCell ref="F56:G56"/>
    <mergeCell ref="F57:G57"/>
    <mergeCell ref="F58:G58"/>
    <mergeCell ref="F59:G59"/>
    <mergeCell ref="F60:G60"/>
    <mergeCell ref="F61:G61"/>
    <mergeCell ref="F62:G62"/>
    <mergeCell ref="F63:G63"/>
    <mergeCell ref="F64:G64"/>
    <mergeCell ref="F65:G65"/>
    <mergeCell ref="F66:G66"/>
    <mergeCell ref="F67:G67"/>
    <mergeCell ref="F70:G70"/>
    <mergeCell ref="F71:G71"/>
    <mergeCell ref="F72:G72"/>
    <mergeCell ref="F73:G73"/>
    <mergeCell ref="F74:G74"/>
    <mergeCell ref="F75:G75"/>
    <mergeCell ref="F76:G76"/>
    <mergeCell ref="F77:G77"/>
    <mergeCell ref="F78:G78"/>
    <mergeCell ref="F79:G79"/>
    <mergeCell ref="F80:G80"/>
    <mergeCell ref="F81:G81"/>
    <mergeCell ref="A82:G82"/>
    <mergeCell ref="E85:G85"/>
    <mergeCell ref="E86:G86"/>
    <mergeCell ref="E87:G87"/>
    <mergeCell ref="E88:G88"/>
    <mergeCell ref="E89:G89"/>
    <mergeCell ref="E90:G90"/>
    <mergeCell ref="E91:G91"/>
    <mergeCell ref="E92:G92"/>
    <mergeCell ref="E93:G93"/>
    <mergeCell ref="E94:G94"/>
    <mergeCell ref="E95:G95"/>
    <mergeCell ref="E98:G98"/>
    <mergeCell ref="E99:G99"/>
    <mergeCell ref="E100:G100"/>
    <mergeCell ref="E101:G101"/>
    <mergeCell ref="E102:G102"/>
    <mergeCell ref="E103:G103"/>
    <mergeCell ref="E104:G104"/>
    <mergeCell ref="E105:G105"/>
    <mergeCell ref="E106:G106"/>
    <mergeCell ref="E107:G107"/>
    <mergeCell ref="E108:G108"/>
    <mergeCell ref="E111:G111"/>
    <mergeCell ref="E112:G112"/>
    <mergeCell ref="E113:G113"/>
    <mergeCell ref="E114:G114"/>
    <mergeCell ref="E115:G115"/>
    <mergeCell ref="E116:G116"/>
    <mergeCell ref="E117:G117"/>
    <mergeCell ref="E118:G118"/>
    <mergeCell ref="A119:G119"/>
    <mergeCell ref="B122:F122"/>
    <mergeCell ref="B123:F123"/>
    <mergeCell ref="B124:F124"/>
    <mergeCell ref="B125:F125"/>
    <mergeCell ref="B126:F126"/>
    <mergeCell ref="B127:F127"/>
    <mergeCell ref="B128:F128"/>
    <mergeCell ref="B131:F131"/>
    <mergeCell ref="B132:F132"/>
    <mergeCell ref="B133:F133"/>
    <mergeCell ref="B134:F134"/>
    <mergeCell ref="B135:F135"/>
    <mergeCell ref="B136:F136"/>
    <mergeCell ref="B137:F137"/>
    <mergeCell ref="B138:F138"/>
    <mergeCell ref="B139:F139"/>
    <mergeCell ref="B140:F140"/>
    <mergeCell ref="B141:F141"/>
    <mergeCell ref="B142:F142"/>
    <mergeCell ref="B143:F143"/>
    <mergeCell ref="B144:F144"/>
    <mergeCell ref="B145:F145"/>
    <mergeCell ref="B148:F148"/>
    <mergeCell ref="B149:F149"/>
    <mergeCell ref="B150:F150"/>
    <mergeCell ref="B151:F151"/>
    <mergeCell ref="B152:F152"/>
    <mergeCell ref="B153:F153"/>
    <mergeCell ref="B154:F154"/>
    <mergeCell ref="B155:F15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3" min="3" style="0" width="12"/>
    <col collapsed="false" customWidth="true" hidden="false" outlineLevel="0" max="5" min="4" style="0" width="16"/>
    <col collapsed="false" customWidth="true" hidden="false" outlineLevel="0" max="6" min="6" style="0" width="60"/>
  </cols>
  <sheetData>
    <row r="1" customFormat="false" ht="18" hidden="false" customHeight="true" outlineLevel="0" collapsed="false">
      <c r="A1" s="1" t="s">
        <v>179</v>
      </c>
    </row>
    <row r="2" customFormat="false" ht="15" hidden="false" customHeight="false" outlineLevel="0" collapsed="false">
      <c r="A2" s="18" t="s">
        <v>180</v>
      </c>
    </row>
    <row r="4" customFormat="false" ht="15.75" hidden="false" customHeight="true" outlineLevel="0" collapsed="false">
      <c r="A4" s="3" t="s">
        <v>181</v>
      </c>
    </row>
    <row r="5" customFormat="false" ht="33.75" hidden="false" customHeight="true" outlineLevel="0" collapsed="false">
      <c r="A5" s="19" t="s">
        <v>104</v>
      </c>
      <c r="B5" s="19" t="s">
        <v>105</v>
      </c>
      <c r="C5" s="19" t="s">
        <v>76</v>
      </c>
      <c r="D5" s="19" t="s">
        <v>106</v>
      </c>
      <c r="E5" s="19" t="s">
        <v>107</v>
      </c>
      <c r="F5" s="19" t="s">
        <v>108</v>
      </c>
    </row>
    <row r="6" customFormat="false" ht="15" hidden="false" customHeight="false" outlineLevel="0" collapsed="false">
      <c r="A6" s="20" t="s">
        <v>182</v>
      </c>
      <c r="B6" s="21" t="n">
        <f aca="false">COUNTIFS('Danh mục lỗi'!$L$5:$L$222,$A6,'Danh mục lỗi'!$G$5:$G$222,"&gt;0")</f>
        <v>32</v>
      </c>
      <c r="C6" s="21" t="n">
        <f aca="false">COUNTIFS('Danh mục lỗi'!$L$5:$L$222,$A6,'Danh mục lỗi'!$G$5:$G$222,"&gt;0",'Danh mục lỗi'!$E$5:$E$222,"Có")</f>
        <v>21</v>
      </c>
      <c r="D6" s="22" t="n">
        <f aca="false">SUMIFS('Danh mục lỗi'!$G$5:$G$222,'Danh mục lỗi'!$L$5:$L$222,$A6)</f>
        <v>12127</v>
      </c>
      <c r="E6" s="22" t="n">
        <f aca="false">SUMIFS('Danh mục lỗi'!$G$5:$G$222,'Danh mục lỗi'!$L$5:$L$222,$A6,'Danh mục lỗi'!$E$5:$E$222,"Có")</f>
        <v>1177</v>
      </c>
      <c r="F6" s="21" t="s">
        <v>183</v>
      </c>
    </row>
    <row r="7" customFormat="false" ht="15" hidden="false" customHeight="false" outlineLevel="0" collapsed="false">
      <c r="A7" s="20" t="s">
        <v>184</v>
      </c>
      <c r="B7" s="21" t="n">
        <f aca="false">COUNTIFS('Danh mục lỗi'!$L$5:$L$222,$A7,'Danh mục lỗi'!$G$5:$G$222,"&gt;0")</f>
        <v>23</v>
      </c>
      <c r="C7" s="21" t="n">
        <f aca="false">COUNTIFS('Danh mục lỗi'!$L$5:$L$222,$A7,'Danh mục lỗi'!$G$5:$G$222,"&gt;0",'Danh mục lỗi'!$E$5:$E$222,"Có")</f>
        <v>9</v>
      </c>
      <c r="D7" s="22" t="n">
        <f aca="false">SUMIFS('Danh mục lỗi'!$G$5:$G$222,'Danh mục lỗi'!$L$5:$L$222,$A7)</f>
        <v>62282</v>
      </c>
      <c r="E7" s="22" t="n">
        <f aca="false">SUMIFS('Danh mục lỗi'!$G$5:$G$222,'Danh mục lỗi'!$L$5:$L$222,$A7,'Danh mục lỗi'!$E$5:$E$222,"Có")</f>
        <v>10107</v>
      </c>
      <c r="F7" s="21" t="s">
        <v>185</v>
      </c>
    </row>
    <row r="8" customFormat="false" ht="15" hidden="false" customHeight="false" outlineLevel="0" collapsed="false">
      <c r="A8" s="20" t="s">
        <v>186</v>
      </c>
      <c r="B8" s="21" t="n">
        <f aca="false">COUNTIFS('Danh mục lỗi'!$L$5:$L$222,$A8,'Danh mục lỗi'!$G$5:$G$222,"&gt;0")</f>
        <v>8</v>
      </c>
      <c r="C8" s="21" t="n">
        <f aca="false">COUNTIFS('Danh mục lỗi'!$L$5:$L$222,$A8,'Danh mục lỗi'!$G$5:$G$222,"&gt;0",'Danh mục lỗi'!$E$5:$E$222,"Có")</f>
        <v>1</v>
      </c>
      <c r="D8" s="22" t="n">
        <f aca="false">SUMIFS('Danh mục lỗi'!$G$5:$G$222,'Danh mục lỗi'!$L$5:$L$222,$A8)</f>
        <v>17221</v>
      </c>
      <c r="E8" s="22" t="n">
        <f aca="false">SUMIFS('Danh mục lỗi'!$G$5:$G$222,'Danh mục lỗi'!$L$5:$L$222,$A8,'Danh mục lỗi'!$E$5:$E$222,"Có")</f>
        <v>396</v>
      </c>
      <c r="F8" s="21" t="s">
        <v>187</v>
      </c>
    </row>
    <row r="9" customFormat="false" ht="15" hidden="false" customHeight="false" outlineLevel="0" collapsed="false">
      <c r="A9" s="20" t="s">
        <v>188</v>
      </c>
      <c r="B9" s="21" t="n">
        <f aca="false">COUNTIFS('Danh mục lỗi'!$L$5:$L$222,$A9,'Danh mục lỗi'!$G$5:$G$222,"&gt;0")</f>
        <v>6</v>
      </c>
      <c r="C9" s="21" t="n">
        <f aca="false">COUNTIFS('Danh mục lỗi'!$L$5:$L$222,$A9,'Danh mục lỗi'!$G$5:$G$222,"&gt;0",'Danh mục lỗi'!$E$5:$E$222,"Có")</f>
        <v>2</v>
      </c>
      <c r="D9" s="22" t="n">
        <f aca="false">SUMIFS('Danh mục lỗi'!$G$5:$G$222,'Danh mục lỗi'!$L$5:$L$222,$A9)</f>
        <v>19568</v>
      </c>
      <c r="E9" s="22" t="n">
        <f aca="false">SUMIFS('Danh mục lỗi'!$G$5:$G$222,'Danh mục lỗi'!$L$5:$L$222,$A9,'Danh mục lỗi'!$E$5:$E$222,"Có")</f>
        <v>32</v>
      </c>
      <c r="F9" s="21" t="s">
        <v>189</v>
      </c>
    </row>
    <row r="10" customFormat="false" ht="15" hidden="false" customHeight="false" outlineLevel="0" collapsed="false">
      <c r="A10" s="20" t="s">
        <v>190</v>
      </c>
      <c r="B10" s="21" t="n">
        <f aca="false">COUNTIFS('Danh mục lỗi'!$L$5:$L$222,$A10,'Danh mục lỗi'!$G$5:$G$222,"&gt;0")</f>
        <v>4</v>
      </c>
      <c r="C10" s="21" t="n">
        <f aca="false">COUNTIFS('Danh mục lỗi'!$L$5:$L$222,$A10,'Danh mục lỗi'!$G$5:$G$222,"&gt;0",'Danh mục lỗi'!$E$5:$E$222,"Có")</f>
        <v>4</v>
      </c>
      <c r="D10" s="22" t="n">
        <f aca="false">SUMIFS('Danh mục lỗi'!$G$5:$G$222,'Danh mục lỗi'!$L$5:$L$222,$A10)</f>
        <v>15601</v>
      </c>
      <c r="E10" s="22" t="n">
        <f aca="false">SUMIFS('Danh mục lỗi'!$G$5:$G$222,'Danh mục lỗi'!$L$5:$L$222,$A10,'Danh mục lỗi'!$E$5:$E$222,"Có")</f>
        <v>15601</v>
      </c>
      <c r="F10" s="21" t="s">
        <v>191</v>
      </c>
    </row>
    <row r="11" customFormat="false" ht="15" hidden="false" customHeight="false" outlineLevel="0" collapsed="false">
      <c r="A11" s="20" t="s">
        <v>192</v>
      </c>
      <c r="B11" s="21" t="n">
        <f aca="false">COUNTIFS('Danh mục lỗi'!$L$5:$L$222,$A11,'Danh mục lỗi'!$G$5:$G$222,"&gt;0")</f>
        <v>1</v>
      </c>
      <c r="C11" s="21" t="n">
        <f aca="false">COUNTIFS('Danh mục lỗi'!$L$5:$L$222,$A11,'Danh mục lỗi'!$G$5:$G$222,"&gt;0",'Danh mục lỗi'!$E$5:$E$222,"Có")</f>
        <v>0</v>
      </c>
      <c r="D11" s="22" t="n">
        <f aca="false">SUMIFS('Danh mục lỗi'!$G$5:$G$222,'Danh mục lỗi'!$L$5:$L$222,$A11)</f>
        <v>232</v>
      </c>
      <c r="E11" s="22" t="n">
        <f aca="false">SUMIFS('Danh mục lỗi'!$G$5:$G$222,'Danh mục lỗi'!$L$5:$L$222,$A11,'Danh mục lỗi'!$E$5:$E$222,"Có")</f>
        <v>0</v>
      </c>
      <c r="F11" s="21" t="s">
        <v>193</v>
      </c>
    </row>
    <row r="12" customFormat="false" ht="15" hidden="false" customHeight="false" outlineLevel="0" collapsed="false">
      <c r="A12" s="20" t="s">
        <v>194</v>
      </c>
      <c r="B12" s="21" t="n">
        <f aca="false">COUNTIFS('Danh mục lỗi'!$L$5:$L$222,$A12,'Danh mục lỗi'!$G$5:$G$222,"&gt;0")</f>
        <v>1</v>
      </c>
      <c r="C12" s="21" t="n">
        <f aca="false">COUNTIFS('Danh mục lỗi'!$L$5:$L$222,$A12,'Danh mục lỗi'!$G$5:$G$222,"&gt;0",'Danh mục lỗi'!$E$5:$E$222,"Có")</f>
        <v>0</v>
      </c>
      <c r="D12" s="22" t="n">
        <f aca="false">SUMIFS('Danh mục lỗi'!$G$5:$G$222,'Danh mục lỗi'!$L$5:$L$222,$A12)</f>
        <v>10455</v>
      </c>
      <c r="E12" s="22" t="n">
        <f aca="false">SUMIFS('Danh mục lỗi'!$G$5:$G$222,'Danh mục lỗi'!$L$5:$L$222,$A12,'Danh mục lỗi'!$E$5:$E$222,"Có")</f>
        <v>0</v>
      </c>
      <c r="F12" s="21" t="s">
        <v>195</v>
      </c>
    </row>
    <row r="13" customFormat="false" ht="15" hidden="false" customHeight="false" outlineLevel="0" collapsed="false">
      <c r="A13" s="20" t="s">
        <v>196</v>
      </c>
      <c r="B13" s="21" t="n">
        <f aca="false">COUNTIFS('Danh mục lỗi'!$L$5:$L$222,$A13,'Danh mục lỗi'!$G$5:$G$222,"&gt;0")</f>
        <v>33</v>
      </c>
      <c r="C13" s="21" t="n">
        <f aca="false">COUNTIFS('Danh mục lỗi'!$L$5:$L$222,$A13,'Danh mục lỗi'!$G$5:$G$222,"&gt;0",'Danh mục lỗi'!$E$5:$E$222,"Có")</f>
        <v>25</v>
      </c>
      <c r="D13" s="22" t="n">
        <f aca="false">SUMIFS('Danh mục lỗi'!$G$5:$G$222,'Danh mục lỗi'!$L$5:$L$222,$A13)</f>
        <v>19204</v>
      </c>
      <c r="E13" s="22" t="n">
        <f aca="false">SUMIFS('Danh mục lỗi'!$G$5:$G$222,'Danh mục lỗi'!$L$5:$L$222,$A13,'Danh mục lỗi'!$E$5:$E$222,"Có")</f>
        <v>2232</v>
      </c>
      <c r="F13" s="21" t="s">
        <v>197</v>
      </c>
    </row>
    <row r="14" customFormat="false" ht="15" hidden="false" customHeight="false" outlineLevel="0" collapsed="false">
      <c r="A14" s="20" t="s">
        <v>198</v>
      </c>
      <c r="B14" s="21" t="n">
        <f aca="false">COUNTIFS('Danh mục lỗi'!$L$5:$L$222,$A14,'Danh mục lỗi'!$G$5:$G$222,"&gt;0")</f>
        <v>8</v>
      </c>
      <c r="C14" s="21" t="n">
        <f aca="false">COUNTIFS('Danh mục lỗi'!$L$5:$L$222,$A14,'Danh mục lỗi'!$G$5:$G$222,"&gt;0",'Danh mục lỗi'!$E$5:$E$222,"Có")</f>
        <v>4</v>
      </c>
      <c r="D14" s="22" t="n">
        <f aca="false">SUMIFS('Danh mục lỗi'!$G$5:$G$222,'Danh mục lỗi'!$L$5:$L$222,$A14)</f>
        <v>451</v>
      </c>
      <c r="E14" s="22" t="n">
        <f aca="false">SUMIFS('Danh mục lỗi'!$G$5:$G$222,'Danh mục lỗi'!$L$5:$L$222,$A14,'Danh mục lỗi'!$E$5:$E$222,"Có")</f>
        <v>19</v>
      </c>
      <c r="F14" s="21" t="s">
        <v>199</v>
      </c>
    </row>
    <row r="15" customFormat="false" ht="15" hidden="false" customHeight="false" outlineLevel="0" collapsed="false">
      <c r="A15" s="20" t="s">
        <v>200</v>
      </c>
      <c r="B15" s="21" t="n">
        <f aca="false">COUNTIFS('Danh mục lỗi'!$L$5:$L$222,$A15,'Danh mục lỗi'!$G$5:$G$222,"&gt;0")</f>
        <v>0</v>
      </c>
      <c r="C15" s="21" t="n">
        <f aca="false">COUNTIFS('Danh mục lỗi'!$L$5:$L$222,$A15,'Danh mục lỗi'!$G$5:$G$222,"&gt;0",'Danh mục lỗi'!$E$5:$E$222,"Có")</f>
        <v>0</v>
      </c>
      <c r="D15" s="22" t="n">
        <f aca="false">SUMIFS('Danh mục lỗi'!$G$5:$G$222,'Danh mục lỗi'!$L$5:$L$222,$A15)</f>
        <v>0</v>
      </c>
      <c r="E15" s="22" t="n">
        <f aca="false">SUMIFS('Danh mục lỗi'!$G$5:$G$222,'Danh mục lỗi'!$L$5:$L$222,$A15,'Danh mục lỗi'!$E$5:$E$222,"Có")</f>
        <v>0</v>
      </c>
      <c r="F15" s="21" t="s">
        <v>201</v>
      </c>
    </row>
    <row r="16" customFormat="false" ht="15" hidden="false" customHeight="false" outlineLevel="0" collapsed="false">
      <c r="A16" s="20" t="s">
        <v>202</v>
      </c>
      <c r="B16" s="23" t="n">
        <f aca="false">SUM(B6:B15)</f>
        <v>116</v>
      </c>
      <c r="C16" s="23" t="n">
        <f aca="false">SUM(C6:C15)</f>
        <v>66</v>
      </c>
      <c r="D16" s="23" t="n">
        <f aca="false">SUM(D6:D15)</f>
        <v>157141</v>
      </c>
      <c r="E16" s="23" t="n">
        <f aca="false">SUM(E6:E15)</f>
        <v>29564</v>
      </c>
    </row>
    <row r="18" customFormat="false" ht="15.75" hidden="false" customHeight="true" outlineLevel="0" collapsed="false">
      <c r="A18" s="3" t="s">
        <v>203</v>
      </c>
    </row>
    <row r="19" customFormat="false" ht="33.75" hidden="false" customHeight="true" outlineLevel="0" collapsed="false">
      <c r="A19" s="19" t="s">
        <v>204</v>
      </c>
      <c r="B19" s="19" t="s">
        <v>105</v>
      </c>
      <c r="C19" s="19" t="s">
        <v>76</v>
      </c>
      <c r="D19" s="19" t="s">
        <v>106</v>
      </c>
      <c r="E19" s="19" t="s">
        <v>107</v>
      </c>
      <c r="F19" s="19" t="s">
        <v>43</v>
      </c>
    </row>
    <row r="20" customFormat="false" ht="15" hidden="false" customHeight="false" outlineLevel="0" collapsed="false">
      <c r="A20" s="20" t="s">
        <v>205</v>
      </c>
      <c r="B20" s="21" t="n">
        <f aca="false">COUNTIFS('Danh mục lỗi'!$K$5:$K$222,$A20,'Danh mục lỗi'!$G$5:$G$222,"&gt;0")</f>
        <v>33</v>
      </c>
      <c r="C20" s="21" t="n">
        <f aca="false">COUNTIFS('Danh mục lỗi'!$K$5:$K$222,$A20,'Danh mục lỗi'!$G$5:$G$222,"&gt;0",'Danh mục lỗi'!$E$5:$E$222,"Có")</f>
        <v>25</v>
      </c>
      <c r="D20" s="22" t="n">
        <f aca="false">SUMIFS('Danh mục lỗi'!$G$5:$G$222,'Danh mục lỗi'!$K$5:$K$222,$A20)</f>
        <v>19204</v>
      </c>
      <c r="E20" s="22" t="n">
        <f aca="false">SUMIFS('Danh mục lỗi'!$G$5:$G$222,'Danh mục lỗi'!$K$5:$K$222,$A20,'Danh mục lỗi'!$E$5:$E$222,"Có")</f>
        <v>2232</v>
      </c>
      <c r="F20" s="24" t="s">
        <v>206</v>
      </c>
    </row>
    <row r="21" customFormat="false" ht="28.5" hidden="false" customHeight="true" outlineLevel="0" collapsed="false">
      <c r="A21" s="20" t="s">
        <v>207</v>
      </c>
      <c r="B21" s="21" t="n">
        <f aca="false">COUNTIFS('Danh mục lỗi'!$K$5:$K$222,$A21,'Danh mục lỗi'!$G$5:$G$222,"&gt;0")</f>
        <v>32</v>
      </c>
      <c r="C21" s="21" t="n">
        <f aca="false">COUNTIFS('Danh mục lỗi'!$K$5:$K$222,$A21,'Danh mục lỗi'!$G$5:$G$222,"&gt;0",'Danh mục lỗi'!$E$5:$E$222,"Có")</f>
        <v>21</v>
      </c>
      <c r="D21" s="22" t="n">
        <f aca="false">SUMIFS('Danh mục lỗi'!$G$5:$G$222,'Danh mục lỗi'!$K$5:$K$222,$A21)</f>
        <v>12127</v>
      </c>
      <c r="E21" s="22" t="n">
        <f aca="false">SUMIFS('Danh mục lỗi'!$G$5:$G$222,'Danh mục lỗi'!$K$5:$K$222,$A21,'Danh mục lỗi'!$E$5:$E$222,"Có")</f>
        <v>1177</v>
      </c>
      <c r="F21" s="24" t="s">
        <v>208</v>
      </c>
    </row>
    <row r="22" customFormat="false" ht="15" hidden="false" customHeight="false" outlineLevel="0" collapsed="false">
      <c r="A22" s="20" t="s">
        <v>209</v>
      </c>
      <c r="B22" s="21" t="n">
        <f aca="false">COUNTIFS('Danh mục lỗi'!$K$5:$K$222,$A22,'Danh mục lỗi'!$G$5:$G$222,"&gt;0")</f>
        <v>8</v>
      </c>
      <c r="C22" s="21" t="n">
        <f aca="false">COUNTIFS('Danh mục lỗi'!$K$5:$K$222,$A22,'Danh mục lỗi'!$G$5:$G$222,"&gt;0",'Danh mục lỗi'!$E$5:$E$222,"Có")</f>
        <v>4</v>
      </c>
      <c r="D22" s="22" t="n">
        <f aca="false">SUMIFS('Danh mục lỗi'!$G$5:$G$222,'Danh mục lỗi'!$K$5:$K$222,$A22)</f>
        <v>451</v>
      </c>
      <c r="E22" s="22" t="n">
        <f aca="false">SUMIFS('Danh mục lỗi'!$G$5:$G$222,'Danh mục lỗi'!$K$5:$K$222,$A22,'Danh mục lỗi'!$E$5:$E$222,"Có")</f>
        <v>19</v>
      </c>
      <c r="F22" s="24" t="s">
        <v>210</v>
      </c>
    </row>
    <row r="23" customFormat="false" ht="28.5" hidden="false" customHeight="true" outlineLevel="0" collapsed="false">
      <c r="A23" s="20" t="s">
        <v>211</v>
      </c>
      <c r="B23" s="21" t="n">
        <f aca="false">COUNTIFS('Danh mục lỗi'!$K$5:$K$222,$A23,'Danh mục lỗi'!$G$5:$G$222,"&gt;0")</f>
        <v>20</v>
      </c>
      <c r="C23" s="21" t="n">
        <f aca="false">COUNTIFS('Danh mục lỗi'!$K$5:$K$222,$A23,'Danh mục lỗi'!$G$5:$G$222,"&gt;0",'Danh mục lỗi'!$E$5:$E$222,"Có")</f>
        <v>7</v>
      </c>
      <c r="D23" s="22" t="n">
        <f aca="false">SUMIFS('Danh mục lỗi'!$G$5:$G$222,'Danh mục lỗi'!$K$5:$K$222,$A23)</f>
        <v>63077</v>
      </c>
      <c r="E23" s="22" t="n">
        <f aca="false">SUMIFS('Danh mục lỗi'!$G$5:$G$222,'Danh mục lỗi'!$K$5:$K$222,$A23,'Danh mục lỗi'!$E$5:$E$222,"Có")</f>
        <v>16029</v>
      </c>
      <c r="F23" s="24" t="s">
        <v>212</v>
      </c>
    </row>
    <row r="24" customFormat="false" ht="15" hidden="false" customHeight="false" outlineLevel="0" collapsed="false">
      <c r="A24" s="20" t="s">
        <v>213</v>
      </c>
      <c r="B24" s="21" t="n">
        <f aca="false">COUNTIFS('Danh mục lỗi'!$K$5:$K$222,$A24,'Danh mục lỗi'!$G$5:$G$222,"&gt;0")</f>
        <v>11</v>
      </c>
      <c r="C24" s="21" t="n">
        <f aca="false">COUNTIFS('Danh mục lỗi'!$K$5:$K$222,$A24,'Danh mục lỗi'!$G$5:$G$222,"&gt;0",'Danh mục lỗi'!$E$5:$E$222,"Có")</f>
        <v>4</v>
      </c>
      <c r="D24" s="22" t="n">
        <f aca="false">SUMIFS('Danh mục lỗi'!$G$5:$G$222,'Danh mục lỗi'!$K$5:$K$222,$A24)</f>
        <v>16230</v>
      </c>
      <c r="E24" s="22" t="n">
        <f aca="false">SUMIFS('Danh mục lỗi'!$G$5:$G$222,'Danh mục lỗi'!$K$5:$K$222,$A24,'Danh mục lỗi'!$E$5:$E$222,"Có")</f>
        <v>27</v>
      </c>
      <c r="F24" s="24" t="s">
        <v>214</v>
      </c>
    </row>
    <row r="25" customFormat="false" ht="15" hidden="false" customHeight="false" outlineLevel="0" collapsed="false">
      <c r="A25" s="20" t="s">
        <v>215</v>
      </c>
      <c r="B25" s="21" t="n">
        <f aca="false">COUNTIFS('Danh mục lỗi'!$K$5:$K$222,$A25,'Danh mục lỗi'!$G$5:$G$222,"&gt;0")</f>
        <v>2</v>
      </c>
      <c r="C25" s="21" t="n">
        <f aca="false">COUNTIFS('Danh mục lỗi'!$K$5:$K$222,$A25,'Danh mục lỗi'!$G$5:$G$222,"&gt;0",'Danh mục lỗi'!$E$5:$E$222,"Có")</f>
        <v>1</v>
      </c>
      <c r="D25" s="22" t="n">
        <f aca="false">SUMIFS('Danh mục lỗi'!$G$5:$G$222,'Danh mục lỗi'!$K$5:$K$222,$A25)</f>
        <v>2242</v>
      </c>
      <c r="E25" s="22" t="n">
        <f aca="false">SUMIFS('Danh mục lỗi'!$G$5:$G$222,'Danh mục lỗi'!$K$5:$K$222,$A25,'Danh mục lỗi'!$E$5:$E$222,"Có")</f>
        <v>432</v>
      </c>
      <c r="F25" s="24" t="s">
        <v>216</v>
      </c>
    </row>
    <row r="26" customFormat="false" ht="15" hidden="false" customHeight="false" outlineLevel="0" collapsed="false">
      <c r="A26" s="20" t="s">
        <v>217</v>
      </c>
      <c r="B26" s="21" t="n">
        <f aca="false">COUNTIFS('Danh mục lỗi'!$K$5:$K$222,$A26,'Danh mục lỗi'!$G$5:$G$222,"&gt;0")</f>
        <v>3</v>
      </c>
      <c r="C26" s="21" t="n">
        <f aca="false">COUNTIFS('Danh mục lỗi'!$K$5:$K$222,$A26,'Danh mục lỗi'!$G$5:$G$222,"&gt;0",'Danh mục lỗi'!$E$5:$E$222,"Có")</f>
        <v>2</v>
      </c>
      <c r="D26" s="22" t="n">
        <f aca="false">SUMIFS('Danh mục lỗi'!$G$5:$G$222,'Danh mục lỗi'!$K$5:$K$222,$A26)</f>
        <v>22259</v>
      </c>
      <c r="E26" s="22" t="n">
        <f aca="false">SUMIFS('Danh mục lỗi'!$G$5:$G$222,'Danh mục lỗi'!$K$5:$K$222,$A26,'Danh mục lỗi'!$E$5:$E$222,"Có")</f>
        <v>4844</v>
      </c>
      <c r="F26" s="24" t="s">
        <v>218</v>
      </c>
    </row>
    <row r="27" customFormat="false" ht="28.5" hidden="false" customHeight="true" outlineLevel="0" collapsed="false">
      <c r="A27" s="20" t="s">
        <v>219</v>
      </c>
      <c r="B27" s="21" t="n">
        <f aca="false">COUNTIFS('Danh mục lỗi'!$K$5:$K$222,$A27,'Danh mục lỗi'!$G$5:$G$222,"&gt;0")</f>
        <v>7</v>
      </c>
      <c r="C27" s="21" t="n">
        <f aca="false">COUNTIFS('Danh mục lỗi'!$K$5:$K$222,$A27,'Danh mục lỗi'!$G$5:$G$222,"&gt;0",'Danh mục lỗi'!$E$5:$E$222,"Có")</f>
        <v>2</v>
      </c>
      <c r="D27" s="22" t="n">
        <f aca="false">SUMIFS('Danh mục lỗi'!$G$5:$G$222,'Danh mục lỗi'!$K$5:$K$222,$A27)</f>
        <v>21551</v>
      </c>
      <c r="E27" s="22" t="n">
        <f aca="false">SUMIFS('Danh mục lỗi'!$G$5:$G$222,'Danh mục lỗi'!$K$5:$K$222,$A27,'Danh mục lỗi'!$E$5:$E$222,"Có")</f>
        <v>4804</v>
      </c>
      <c r="F27" s="24" t="s">
        <v>220</v>
      </c>
    </row>
    <row r="28" customFormat="false" ht="28.5" hidden="false" customHeight="true" outlineLevel="0" collapsed="false">
      <c r="A28" s="20" t="s">
        <v>221</v>
      </c>
      <c r="B28" s="21" t="n">
        <f aca="false">COUNTIFS('Danh mục lỗi'!$K$5:$K$222,$A28,'Danh mục lỗi'!$G$5:$G$222,"&gt;0")</f>
        <v>0</v>
      </c>
      <c r="C28" s="21" t="n">
        <f aca="false">COUNTIFS('Danh mục lỗi'!$K$5:$K$222,$A28,'Danh mục lỗi'!$G$5:$G$222,"&gt;0",'Danh mục lỗi'!$E$5:$E$222,"Có")</f>
        <v>0</v>
      </c>
      <c r="D28" s="22" t="n">
        <f aca="false">SUMIFS('Danh mục lỗi'!$G$5:$G$222,'Danh mục lỗi'!$K$5:$K$222,$A28)</f>
        <v>0</v>
      </c>
      <c r="E28" s="22" t="n">
        <f aca="false">SUMIFS('Danh mục lỗi'!$G$5:$G$222,'Danh mục lỗi'!$K$5:$K$222,$A28,'Danh mục lỗi'!$E$5:$E$222,"Có")</f>
        <v>0</v>
      </c>
      <c r="F28" s="24" t="s">
        <v>222</v>
      </c>
    </row>
    <row r="29" customFormat="false" ht="15" hidden="false" customHeight="false" outlineLevel="0" collapsed="false">
      <c r="A29" s="20" t="s">
        <v>223</v>
      </c>
      <c r="B29" s="20" t="n">
        <f aca="false">COUNTIFS('Danh mục lỗi'!$J$5:$J$222,"Nghiệp vụ",'Danh mục lỗi'!$G$5:$G$222,"&gt;0")</f>
        <v>93</v>
      </c>
      <c r="C29" s="20" t="n">
        <f aca="false">COUNTIFS('Danh mục lỗi'!$J$5:$J$222,"Nghiệp vụ",'Danh mục lỗi'!$G$5:$G$222,"&gt;0",'Danh mục lỗi'!$E$5:$E$222,"Có")</f>
        <v>57</v>
      </c>
      <c r="D29" s="23" t="n">
        <f aca="false">SUMIFS('Danh mục lỗi'!$G$5:$G$222,'Danh mục lỗi'!$J$5:$J$222,"Nghiệp vụ")</f>
        <v>94859</v>
      </c>
      <c r="E29" s="23" t="n">
        <f aca="false">SUMIFS('Danh mục lỗi'!$G$5:$G$222,'Danh mục lỗi'!$J$5:$J$222,"Nghiệp vụ",'Danh mục lỗi'!$E$5:$E$222,"Có")</f>
        <v>19457</v>
      </c>
    </row>
    <row r="30" customFormat="false" ht="15" hidden="false" customHeight="false" outlineLevel="0" collapsed="false">
      <c r="A30" s="20" t="s">
        <v>224</v>
      </c>
      <c r="B30" s="20" t="n">
        <f aca="false">COUNTIFS('Danh mục lỗi'!$J$5:$J$222,"Kỹ thuật",'Danh mục lỗi'!$G$5:$G$222,"&gt;0")</f>
        <v>23</v>
      </c>
      <c r="C30" s="20" t="n">
        <f aca="false">COUNTIFS('Danh mục lỗi'!$J$5:$J$222,"Kỹ thuật",'Danh mục lỗi'!$G$5:$G$222,"&gt;0",'Danh mục lỗi'!$E$5:$E$222,"Có")</f>
        <v>9</v>
      </c>
      <c r="D30" s="23" t="n">
        <f aca="false">SUMIFS('Danh mục lỗi'!$G$5:$G$222,'Danh mục lỗi'!$J$5:$J$222,"Kỹ thuật")</f>
        <v>62282</v>
      </c>
      <c r="E30" s="23" t="n">
        <f aca="false">SUMIFS('Danh mục lỗi'!$G$5:$G$222,'Danh mục lỗi'!$J$5:$J$222,"Kỹ thuật",'Danh mục lỗi'!$E$5:$E$222,"Có")</f>
        <v>10107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0" ySplit="4" topLeftCell="A5" activePane="bottomLeft" state="frozen"/>
      <selection pane="topLeft" activeCell="A1" activeCellId="0" sqref="A1"/>
      <selection pane="bottomLeft" activeCell="B15" activeCellId="0" sqref="B15"/>
    </sheetView>
  </sheetViews>
  <sheetFormatPr defaultColWidth="8.54296875" defaultRowHeight="15" customHeight="false"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6"/>
    <col collapsed="false" customWidth="true" hidden="false" outlineLevel="0" max="4" min="4" style="0" width="60"/>
    <col collapsed="false" customWidth="true" hidden="false" outlineLevel="0" max="5" min="5" style="0" width="46"/>
    <col collapsed="false" customWidth="true" hidden="false" outlineLevel="0" max="6" min="6" style="0" width="44"/>
  </cols>
  <sheetData>
    <row r="1" customFormat="false" ht="18" hidden="false" customHeight="true" outlineLevel="0" collapsed="false">
      <c r="A1" s="1" t="s">
        <v>225</v>
      </c>
    </row>
    <row r="2" customFormat="false" ht="15" hidden="false" customHeight="false" outlineLevel="0" collapsed="false">
      <c r="A2" s="18" t="s">
        <v>226</v>
      </c>
    </row>
    <row r="4" customFormat="false" ht="33.75" hidden="false" customHeight="true" outlineLevel="0" collapsed="false">
      <c r="A4" s="19" t="s">
        <v>227</v>
      </c>
      <c r="B4" s="19" t="s">
        <v>153</v>
      </c>
      <c r="C4" s="19" t="s">
        <v>228</v>
      </c>
      <c r="D4" s="19" t="s">
        <v>229</v>
      </c>
      <c r="E4" s="19" t="s">
        <v>230</v>
      </c>
      <c r="F4" s="19" t="s">
        <v>155</v>
      </c>
    </row>
    <row r="5" customFormat="false" ht="38.25" hidden="false" customHeight="true" outlineLevel="0" collapsed="false">
      <c r="A5" s="16" t="n">
        <v>1</v>
      </c>
      <c r="B5" s="25" t="s">
        <v>231</v>
      </c>
      <c r="C5" s="16" t="s">
        <v>219</v>
      </c>
      <c r="D5" s="16" t="s">
        <v>232</v>
      </c>
      <c r="E5" s="16" t="s">
        <v>233</v>
      </c>
      <c r="F5" s="16" t="s">
        <v>234</v>
      </c>
    </row>
    <row r="6" customFormat="false" ht="25.5" hidden="false" customHeight="true" outlineLevel="0" collapsed="false">
      <c r="A6" s="16" t="n">
        <v>2</v>
      </c>
      <c r="B6" s="25" t="s">
        <v>235</v>
      </c>
      <c r="C6" s="16" t="s">
        <v>217</v>
      </c>
      <c r="D6" s="16" t="s">
        <v>236</v>
      </c>
      <c r="E6" s="16" t="s">
        <v>237</v>
      </c>
      <c r="F6" s="16" t="s">
        <v>238</v>
      </c>
    </row>
    <row r="7" customFormat="false" ht="38.25" hidden="false" customHeight="true" outlineLevel="0" collapsed="false">
      <c r="A7" s="16" t="n">
        <v>3</v>
      </c>
      <c r="B7" s="25" t="s">
        <v>184</v>
      </c>
      <c r="C7" s="16" t="s">
        <v>213</v>
      </c>
      <c r="D7" s="16" t="s">
        <v>239</v>
      </c>
      <c r="E7" s="16" t="s">
        <v>240</v>
      </c>
      <c r="F7" s="16" t="s">
        <v>241</v>
      </c>
    </row>
    <row r="8" customFormat="false" ht="25.5" hidden="false" customHeight="true" outlineLevel="0" collapsed="false">
      <c r="A8" s="16" t="n">
        <v>4</v>
      </c>
      <c r="B8" s="25" t="s">
        <v>184</v>
      </c>
      <c r="C8" s="16" t="s">
        <v>242</v>
      </c>
      <c r="D8" s="16" t="s">
        <v>243</v>
      </c>
      <c r="E8" s="16" t="s">
        <v>244</v>
      </c>
      <c r="F8" s="16" t="s">
        <v>245</v>
      </c>
    </row>
    <row r="9" customFormat="false" ht="51" hidden="false" customHeight="true" outlineLevel="0" collapsed="false">
      <c r="A9" s="16" t="n">
        <v>5</v>
      </c>
      <c r="B9" s="25" t="s">
        <v>184</v>
      </c>
      <c r="C9" s="16" t="s">
        <v>213</v>
      </c>
      <c r="D9" s="16" t="s">
        <v>246</v>
      </c>
      <c r="E9" s="16" t="s">
        <v>247</v>
      </c>
      <c r="F9" s="16" t="s">
        <v>248</v>
      </c>
    </row>
    <row r="10" customFormat="false" ht="38.25" hidden="false" customHeight="true" outlineLevel="0" collapsed="false">
      <c r="A10" s="16" t="n">
        <v>6</v>
      </c>
      <c r="B10" s="25" t="s">
        <v>190</v>
      </c>
      <c r="C10" s="16" t="s">
        <v>211</v>
      </c>
      <c r="D10" s="16" t="s">
        <v>249</v>
      </c>
      <c r="E10" s="16" t="s">
        <v>250</v>
      </c>
      <c r="F10" s="16" t="s">
        <v>251</v>
      </c>
    </row>
    <row r="11" customFormat="false" ht="51" hidden="false" customHeight="true" outlineLevel="0" collapsed="false">
      <c r="A11" s="16" t="n">
        <v>7</v>
      </c>
      <c r="B11" s="25" t="s">
        <v>252</v>
      </c>
      <c r="C11" s="16" t="s">
        <v>211</v>
      </c>
      <c r="D11" s="16" t="s">
        <v>253</v>
      </c>
      <c r="E11" s="16" t="s">
        <v>254</v>
      </c>
      <c r="F11" s="16" t="s">
        <v>255</v>
      </c>
    </row>
    <row r="12" customFormat="false" ht="25.5" hidden="false" customHeight="true" outlineLevel="0" collapsed="false">
      <c r="A12" s="16" t="n">
        <v>8</v>
      </c>
      <c r="B12" s="25" t="s">
        <v>192</v>
      </c>
      <c r="C12" s="16" t="s">
        <v>211</v>
      </c>
      <c r="D12" s="16" t="s">
        <v>256</v>
      </c>
      <c r="E12" s="16" t="s">
        <v>257</v>
      </c>
      <c r="F12" s="16" t="s">
        <v>258</v>
      </c>
    </row>
    <row r="13" customFormat="false" ht="25.5" hidden="false" customHeight="true" outlineLevel="0" collapsed="false">
      <c r="A13" s="16" t="n">
        <v>9</v>
      </c>
      <c r="B13" s="25" t="s">
        <v>188</v>
      </c>
      <c r="C13" s="16" t="s">
        <v>211</v>
      </c>
      <c r="D13" s="16" t="s">
        <v>259</v>
      </c>
      <c r="E13" s="16" t="s">
        <v>260</v>
      </c>
      <c r="F13" s="16" t="s">
        <v>261</v>
      </c>
    </row>
    <row r="14" customFormat="false" ht="38.25" hidden="false" customHeight="true" outlineLevel="0" collapsed="false">
      <c r="A14" s="16" t="n">
        <v>10</v>
      </c>
      <c r="B14" s="25" t="s">
        <v>186</v>
      </c>
      <c r="C14" s="16" t="s">
        <v>211</v>
      </c>
      <c r="D14" s="16" t="s">
        <v>262</v>
      </c>
      <c r="E14" s="16" t="s">
        <v>263</v>
      </c>
      <c r="F14" s="16" t="s">
        <v>264</v>
      </c>
    </row>
    <row r="15" customFormat="false" ht="38.25" hidden="false" customHeight="true" outlineLevel="0" collapsed="false">
      <c r="A15" s="16" t="n">
        <v>11</v>
      </c>
      <c r="B15" s="25" t="s">
        <v>182</v>
      </c>
      <c r="C15" s="16" t="s">
        <v>207</v>
      </c>
      <c r="D15" s="16" t="s">
        <v>265</v>
      </c>
      <c r="E15" s="16" t="s">
        <v>266</v>
      </c>
      <c r="F15" s="16" t="s">
        <v>267</v>
      </c>
    </row>
    <row r="16" customFormat="false" ht="38.25" hidden="false" customHeight="true" outlineLevel="0" collapsed="false">
      <c r="A16" s="16" t="n">
        <v>12</v>
      </c>
      <c r="B16" s="25" t="s">
        <v>268</v>
      </c>
      <c r="C16" s="16" t="s">
        <v>205</v>
      </c>
      <c r="D16" s="16" t="s">
        <v>269</v>
      </c>
      <c r="E16" s="16" t="s">
        <v>270</v>
      </c>
      <c r="F16" s="16" t="s">
        <v>271</v>
      </c>
    </row>
    <row r="17" customFormat="false" ht="15" hidden="false" customHeight="false" outlineLevel="0" collapsed="false">
      <c r="A17" s="16" t="n">
        <v>13</v>
      </c>
      <c r="B17" s="25" t="s">
        <v>198</v>
      </c>
      <c r="C17" s="16" t="s">
        <v>272</v>
      </c>
      <c r="D17" s="16" t="s">
        <v>273</v>
      </c>
      <c r="E17" s="16" t="s">
        <v>274</v>
      </c>
      <c r="F17" s="16" t="s">
        <v>275</v>
      </c>
    </row>
    <row r="18" customFormat="false" ht="25.5" hidden="false" customHeight="true" outlineLevel="0" collapsed="false">
      <c r="A18" s="16" t="n">
        <v>14</v>
      </c>
      <c r="B18" s="25" t="s">
        <v>200</v>
      </c>
      <c r="C18" s="16" t="s">
        <v>276</v>
      </c>
      <c r="D18" s="16" t="s">
        <v>277</v>
      </c>
      <c r="E18" s="16" t="s">
        <v>278</v>
      </c>
      <c r="F18" s="16" t="s">
        <v>279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D8" activeCellId="0" sqref="D8"/>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1"/>
    <col collapsed="false" customWidth="true" hidden="false" outlineLevel="0" max="4" min="4" style="0" width="28"/>
    <col collapsed="false" customWidth="true" hidden="false" outlineLevel="0" max="5" min="5" style="0" width="22"/>
    <col collapsed="false" customWidth="true" hidden="false" outlineLevel="0" max="6" min="6" style="0" width="52"/>
    <col collapsed="false" customWidth="true" hidden="false" outlineLevel="0" max="7" min="7" style="0" width="44"/>
  </cols>
  <sheetData>
    <row r="1" customFormat="false" ht="18" hidden="false" customHeight="true" outlineLevel="0" collapsed="false">
      <c r="A1" s="1" t="s">
        <v>280</v>
      </c>
    </row>
    <row r="2" customFormat="false" ht="15" hidden="false" customHeight="false" outlineLevel="0" collapsed="false">
      <c r="A2" s="18" t="s">
        <v>281</v>
      </c>
    </row>
    <row r="4" customFormat="false" ht="33.75" hidden="false" customHeight="true" outlineLevel="0" collapsed="false">
      <c r="A4" s="19" t="s">
        <v>282</v>
      </c>
      <c r="B4" s="19" t="s">
        <v>283</v>
      </c>
      <c r="C4" s="19" t="s">
        <v>39</v>
      </c>
      <c r="D4" s="19" t="s">
        <v>284</v>
      </c>
      <c r="E4" s="19" t="s">
        <v>285</v>
      </c>
      <c r="F4" s="19" t="s">
        <v>286</v>
      </c>
      <c r="G4" s="19" t="s">
        <v>287</v>
      </c>
    </row>
    <row r="5" customFormat="false" ht="25.5" hidden="false" customHeight="true" outlineLevel="0" collapsed="false">
      <c r="A5" s="16" t="s">
        <v>288</v>
      </c>
      <c r="B5" s="16" t="s">
        <v>289</v>
      </c>
      <c r="C5" s="7" t="n">
        <v>2460</v>
      </c>
      <c r="D5" s="16" t="s">
        <v>290</v>
      </c>
      <c r="E5" s="16" t="s">
        <v>291</v>
      </c>
      <c r="F5" s="16" t="s">
        <v>292</v>
      </c>
      <c r="G5" s="16" t="s">
        <v>293</v>
      </c>
    </row>
    <row r="6" customFormat="false" ht="25.5" hidden="false" customHeight="true" outlineLevel="0" collapsed="false">
      <c r="A6" s="16" t="s">
        <v>294</v>
      </c>
      <c r="B6" s="16" t="s">
        <v>289</v>
      </c>
      <c r="C6" s="7" t="n">
        <v>866</v>
      </c>
      <c r="D6" s="16" t="s">
        <v>295</v>
      </c>
      <c r="E6" s="16" t="s">
        <v>296</v>
      </c>
      <c r="F6" s="16" t="s">
        <v>297</v>
      </c>
      <c r="G6" s="16" t="s">
        <v>298</v>
      </c>
    </row>
    <row r="7" customFormat="false" ht="25.5" hidden="false" customHeight="true" outlineLevel="0" collapsed="false">
      <c r="A7" s="16" t="s">
        <v>299</v>
      </c>
      <c r="B7" s="16" t="s">
        <v>289</v>
      </c>
      <c r="C7" s="7" t="n">
        <v>66</v>
      </c>
      <c r="D7" s="16" t="s">
        <v>300</v>
      </c>
      <c r="E7" s="16" t="s">
        <v>291</v>
      </c>
      <c r="F7" s="16" t="s">
        <v>301</v>
      </c>
      <c r="G7" s="16" t="s">
        <v>302</v>
      </c>
    </row>
    <row r="8" customFormat="false" ht="76.5" hidden="false" customHeight="true" outlineLevel="0" collapsed="false">
      <c r="A8" s="16" t="s">
        <v>303</v>
      </c>
      <c r="B8" s="16" t="s">
        <v>289</v>
      </c>
      <c r="C8" s="7" t="n">
        <v>208</v>
      </c>
      <c r="D8" s="16" t="s">
        <v>304</v>
      </c>
      <c r="E8" s="16" t="s">
        <v>305</v>
      </c>
      <c r="F8" s="16" t="s">
        <v>306</v>
      </c>
      <c r="G8" s="16" t="s">
        <v>307</v>
      </c>
    </row>
    <row r="9" customFormat="false" ht="25.5" hidden="false" customHeight="true" outlineLevel="0" collapsed="false">
      <c r="A9" s="16" t="s">
        <v>308</v>
      </c>
      <c r="B9" s="16" t="s">
        <v>289</v>
      </c>
      <c r="C9" s="7" t="n">
        <v>21</v>
      </c>
      <c r="D9" s="16" t="s">
        <v>309</v>
      </c>
      <c r="E9" s="16" t="s">
        <v>305</v>
      </c>
      <c r="F9" s="16"/>
      <c r="G9" s="16" t="s">
        <v>310</v>
      </c>
    </row>
    <row r="10" customFormat="false" ht="38.25" hidden="false" customHeight="true" outlineLevel="0" collapsed="false">
      <c r="A10" s="16" t="s">
        <v>311</v>
      </c>
      <c r="B10" s="16" t="s">
        <v>312</v>
      </c>
      <c r="C10" s="7" t="n">
        <v>1367</v>
      </c>
      <c r="D10" s="16" t="s">
        <v>313</v>
      </c>
      <c r="E10" s="16" t="s">
        <v>314</v>
      </c>
      <c r="F10" s="16"/>
      <c r="G10" s="16" t="s">
        <v>315</v>
      </c>
    </row>
    <row r="11" customFormat="false" ht="25.5" hidden="false" customHeight="true" outlineLevel="0" collapsed="false">
      <c r="A11" s="16" t="s">
        <v>184</v>
      </c>
      <c r="B11" s="16" t="s">
        <v>312</v>
      </c>
      <c r="C11" s="7" t="n">
        <v>1</v>
      </c>
      <c r="D11" s="16" t="s">
        <v>316</v>
      </c>
      <c r="E11" s="16" t="s">
        <v>314</v>
      </c>
      <c r="F11" s="16"/>
      <c r="G11" s="16" t="s">
        <v>317</v>
      </c>
    </row>
    <row r="13" customFormat="false" ht="15" hidden="false" customHeight="false" outlineLevel="0" collapsed="false">
      <c r="A13" s="26" t="s">
        <v>318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2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9"/>
    <col collapsed="false" customWidth="true" hidden="false" outlineLevel="0" max="4" min="4" style="0" width="36"/>
    <col collapsed="false" customWidth="true" hidden="false" outlineLevel="0" max="6" min="5" style="0" width="9"/>
    <col collapsed="false" customWidth="true" hidden="false" outlineLevel="0" max="7" min="7" style="0" width="11"/>
    <col collapsed="false" customWidth="true" hidden="false" outlineLevel="0" max="8" min="8" style="0" width="9"/>
    <col collapsed="false" customWidth="true" hidden="false" outlineLevel="0" max="9" min="9" style="0" width="46"/>
    <col collapsed="false" customWidth="true" hidden="false" outlineLevel="0" max="10" min="10" style="0" width="12"/>
    <col collapsed="false" customWidth="true" hidden="false" outlineLevel="0" max="11" min="11" style="0" width="30"/>
    <col collapsed="false" customWidth="true" hidden="false" outlineLevel="0" max="12" min="12" style="0" width="20"/>
    <col collapsed="false" customWidth="true" hidden="false" outlineLevel="0" max="13" min="13" style="0" width="28"/>
    <col collapsed="false" customWidth="true" hidden="false" outlineLevel="0" max="14" min="14" style="0" width="52"/>
    <col collapsed="false" customWidth="true" hidden="false" outlineLevel="0" max="15" min="15" style="0" width="16"/>
    <col collapsed="false" customWidth="true" hidden="false" outlineLevel="0" max="16" min="16" style="0" width="13"/>
  </cols>
  <sheetData>
    <row r="1" customFormat="false" ht="18" hidden="false" customHeight="true" outlineLevel="0" collapsed="false">
      <c r="A1" s="1" t="s">
        <v>319</v>
      </c>
    </row>
    <row r="2" customFormat="false" ht="15" hidden="false" customHeight="false" outlineLevel="0" collapsed="false">
      <c r="A2" s="18" t="s">
        <v>320</v>
      </c>
    </row>
    <row r="4" customFormat="false" ht="33.75" hidden="false" customHeight="true" outlineLevel="0" collapsed="false">
      <c r="A4" s="19" t="s">
        <v>227</v>
      </c>
      <c r="B4" s="19" t="s">
        <v>111</v>
      </c>
      <c r="C4" s="19" t="s">
        <v>321</v>
      </c>
      <c r="D4" s="19" t="s">
        <v>112</v>
      </c>
      <c r="E4" s="19" t="s">
        <v>322</v>
      </c>
      <c r="F4" s="19" t="s">
        <v>323</v>
      </c>
      <c r="G4" s="19" t="s">
        <v>39</v>
      </c>
      <c r="H4" s="19" t="s">
        <v>40</v>
      </c>
      <c r="I4" s="19" t="s">
        <v>324</v>
      </c>
      <c r="J4" s="19" t="s">
        <v>325</v>
      </c>
      <c r="K4" s="19" t="s">
        <v>204</v>
      </c>
      <c r="L4" s="19" t="s">
        <v>104</v>
      </c>
      <c r="M4" s="19" t="s">
        <v>326</v>
      </c>
      <c r="N4" s="19" t="s">
        <v>327</v>
      </c>
      <c r="O4" s="19" t="s">
        <v>328</v>
      </c>
      <c r="P4" s="19" t="s">
        <v>329</v>
      </c>
    </row>
    <row r="5" customFormat="false" ht="25.5" hidden="false" customHeight="true" outlineLevel="0" collapsed="false">
      <c r="A5" s="16" t="n">
        <v>1</v>
      </c>
      <c r="B5" s="16" t="s">
        <v>330</v>
      </c>
      <c r="C5" s="16" t="s">
        <v>83</v>
      </c>
      <c r="D5" s="16" t="s">
        <v>331</v>
      </c>
      <c r="E5" s="16" t="s">
        <v>332</v>
      </c>
      <c r="F5" s="16" t="s">
        <v>333</v>
      </c>
      <c r="G5" s="7" t="n">
        <v>18854</v>
      </c>
      <c r="H5" s="13" t="n">
        <f aca="false">G5/23967</f>
        <v>0.786664997705178</v>
      </c>
      <c r="I5" s="16" t="s">
        <v>334</v>
      </c>
      <c r="J5" s="16" t="s">
        <v>335</v>
      </c>
      <c r="K5" s="16" t="s">
        <v>211</v>
      </c>
      <c r="L5" s="16" t="s">
        <v>188</v>
      </c>
      <c r="M5" s="16" t="s">
        <v>336</v>
      </c>
      <c r="N5" s="16" t="s">
        <v>337</v>
      </c>
      <c r="O5" s="16"/>
      <c r="P5" s="27" t="n">
        <v>18264</v>
      </c>
    </row>
    <row r="6" customFormat="false" ht="25.5" hidden="false" customHeight="true" outlineLevel="0" collapsed="false">
      <c r="A6" s="16" t="n">
        <v>2</v>
      </c>
      <c r="B6" s="16" t="s">
        <v>338</v>
      </c>
      <c r="C6" s="16" t="s">
        <v>85</v>
      </c>
      <c r="D6" s="16" t="s">
        <v>339</v>
      </c>
      <c r="E6" s="16" t="s">
        <v>332</v>
      </c>
      <c r="F6" s="16" t="s">
        <v>333</v>
      </c>
      <c r="G6" s="7" t="n">
        <v>17415</v>
      </c>
      <c r="H6" s="13" t="n">
        <f aca="false">G6/23967</f>
        <v>0.726624108148705</v>
      </c>
      <c r="I6" s="16" t="s">
        <v>340</v>
      </c>
      <c r="J6" s="16" t="s">
        <v>341</v>
      </c>
      <c r="K6" s="16" t="s">
        <v>217</v>
      </c>
      <c r="L6" s="16" t="s">
        <v>184</v>
      </c>
      <c r="M6" s="16" t="s">
        <v>342</v>
      </c>
      <c r="N6" s="16" t="s">
        <v>343</v>
      </c>
      <c r="O6" s="16"/>
      <c r="P6" s="27" t="n">
        <v>16844</v>
      </c>
    </row>
    <row r="7" customFormat="false" ht="38.25" hidden="false" customHeight="true" outlineLevel="0" collapsed="false">
      <c r="A7" s="16" t="n">
        <v>3</v>
      </c>
      <c r="B7" s="16" t="s">
        <v>344</v>
      </c>
      <c r="C7" s="16" t="s">
        <v>101</v>
      </c>
      <c r="D7" s="16" t="s">
        <v>345</v>
      </c>
      <c r="E7" s="16" t="s">
        <v>332</v>
      </c>
      <c r="F7" s="16" t="s">
        <v>333</v>
      </c>
      <c r="G7" s="7" t="n">
        <v>10455</v>
      </c>
      <c r="H7" s="13" t="n">
        <f aca="false">G7/23967</f>
        <v>0.43622480911253</v>
      </c>
      <c r="I7" s="16" t="s">
        <v>346</v>
      </c>
      <c r="J7" s="16" t="s">
        <v>335</v>
      </c>
      <c r="K7" s="16" t="s">
        <v>211</v>
      </c>
      <c r="L7" s="16" t="s">
        <v>194</v>
      </c>
      <c r="M7" s="16" t="s">
        <v>336</v>
      </c>
      <c r="N7" s="16" t="s">
        <v>347</v>
      </c>
      <c r="O7" s="16" t="s">
        <v>348</v>
      </c>
      <c r="P7" s="27" t="n">
        <v>10181</v>
      </c>
    </row>
    <row r="8" customFormat="false" ht="25.5" hidden="false" customHeight="true" outlineLevel="0" collapsed="false">
      <c r="A8" s="16" t="n">
        <v>4</v>
      </c>
      <c r="B8" s="16" t="s">
        <v>349</v>
      </c>
      <c r="C8" s="16" t="s">
        <v>83</v>
      </c>
      <c r="D8" s="16" t="s">
        <v>350</v>
      </c>
      <c r="E8" s="16" t="s">
        <v>332</v>
      </c>
      <c r="F8" s="16" t="s">
        <v>333</v>
      </c>
      <c r="G8" s="7" t="n">
        <v>9985</v>
      </c>
      <c r="H8" s="13" t="n">
        <f aca="false">G8/23967</f>
        <v>0.416614511620144</v>
      </c>
      <c r="I8" s="16" t="s">
        <v>351</v>
      </c>
      <c r="J8" s="16" t="s">
        <v>341</v>
      </c>
      <c r="K8" s="16" t="s">
        <v>219</v>
      </c>
      <c r="L8" s="16" t="s">
        <v>184</v>
      </c>
      <c r="M8" s="16" t="s">
        <v>352</v>
      </c>
      <c r="N8" s="16" t="s">
        <v>353</v>
      </c>
      <c r="O8" s="16"/>
      <c r="P8" s="27" t="n">
        <v>9717</v>
      </c>
    </row>
    <row r="9" customFormat="false" ht="38.25" hidden="false" customHeight="true" outlineLevel="0" collapsed="false">
      <c r="A9" s="16" t="n">
        <v>5</v>
      </c>
      <c r="B9" s="16" t="s">
        <v>354</v>
      </c>
      <c r="C9" s="16" t="s">
        <v>83</v>
      </c>
      <c r="D9" s="16" t="s">
        <v>355</v>
      </c>
      <c r="E9" s="16" t="s">
        <v>332</v>
      </c>
      <c r="F9" s="16" t="s">
        <v>333</v>
      </c>
      <c r="G9" s="7" t="n">
        <v>8117</v>
      </c>
      <c r="H9" s="13" t="n">
        <f aca="false">G9/23967</f>
        <v>0.338674010097217</v>
      </c>
      <c r="I9" s="16" t="s">
        <v>356</v>
      </c>
      <c r="J9" s="16" t="s">
        <v>335</v>
      </c>
      <c r="K9" s="16" t="s">
        <v>207</v>
      </c>
      <c r="L9" s="16" t="s">
        <v>182</v>
      </c>
      <c r="M9" s="16" t="s">
        <v>357</v>
      </c>
      <c r="N9" s="16" t="s">
        <v>358</v>
      </c>
      <c r="O9" s="16"/>
      <c r="P9" s="27" t="n">
        <v>7727</v>
      </c>
    </row>
    <row r="10" customFormat="false" ht="38.25" hidden="false" customHeight="true" outlineLevel="0" collapsed="false">
      <c r="A10" s="16" t="n">
        <v>6</v>
      </c>
      <c r="B10" s="16" t="s">
        <v>359</v>
      </c>
      <c r="C10" s="16" t="s">
        <v>83</v>
      </c>
      <c r="D10" s="16" t="s">
        <v>360</v>
      </c>
      <c r="E10" s="16" t="s">
        <v>333</v>
      </c>
      <c r="F10" s="16" t="s">
        <v>333</v>
      </c>
      <c r="G10" s="7" t="n">
        <v>7344</v>
      </c>
      <c r="H10" s="13" t="n">
        <f aca="false">G10/23967</f>
        <v>0.306421329327826</v>
      </c>
      <c r="I10" s="16" t="s">
        <v>361</v>
      </c>
      <c r="J10" s="16" t="s">
        <v>335</v>
      </c>
      <c r="K10" s="16" t="s">
        <v>211</v>
      </c>
      <c r="L10" s="16" t="s">
        <v>190</v>
      </c>
      <c r="M10" s="16" t="s">
        <v>336</v>
      </c>
      <c r="N10" s="16" t="s">
        <v>362</v>
      </c>
      <c r="O10" s="16"/>
      <c r="P10" s="27" t="n">
        <v>7177</v>
      </c>
    </row>
    <row r="11" customFormat="false" ht="38.25" hidden="false" customHeight="true" outlineLevel="0" collapsed="false">
      <c r="A11" s="16" t="n">
        <v>7</v>
      </c>
      <c r="B11" s="16" t="s">
        <v>363</v>
      </c>
      <c r="C11" s="16" t="s">
        <v>85</v>
      </c>
      <c r="D11" s="16" t="s">
        <v>360</v>
      </c>
      <c r="E11" s="16" t="s">
        <v>333</v>
      </c>
      <c r="F11" s="16" t="s">
        <v>333</v>
      </c>
      <c r="G11" s="7" t="n">
        <v>7332</v>
      </c>
      <c r="H11" s="13" t="n">
        <f aca="false">G11/23967</f>
        <v>0.305920640881212</v>
      </c>
      <c r="I11" s="16" t="s">
        <v>364</v>
      </c>
      <c r="J11" s="16" t="s">
        <v>335</v>
      </c>
      <c r="K11" s="16" t="s">
        <v>211</v>
      </c>
      <c r="L11" s="16" t="s">
        <v>190</v>
      </c>
      <c r="M11" s="16" t="s">
        <v>336</v>
      </c>
      <c r="N11" s="16" t="s">
        <v>362</v>
      </c>
      <c r="O11" s="16"/>
      <c r="P11" s="27" t="n">
        <v>7167</v>
      </c>
    </row>
    <row r="12" customFormat="false" ht="38.25" hidden="false" customHeight="true" outlineLevel="0" collapsed="false">
      <c r="A12" s="16" t="n">
        <v>8</v>
      </c>
      <c r="B12" s="16" t="s">
        <v>365</v>
      </c>
      <c r="C12" s="16" t="s">
        <v>91</v>
      </c>
      <c r="D12" s="16" t="s">
        <v>366</v>
      </c>
      <c r="E12" s="16" t="s">
        <v>332</v>
      </c>
      <c r="F12" s="16" t="s">
        <v>333</v>
      </c>
      <c r="G12" s="7" t="n">
        <v>7258</v>
      </c>
      <c r="H12" s="13" t="n">
        <f aca="false">G12/23967</f>
        <v>0.302833062127091</v>
      </c>
      <c r="I12" s="16" t="s">
        <v>367</v>
      </c>
      <c r="J12" s="16" t="s">
        <v>335</v>
      </c>
      <c r="K12" s="16" t="s">
        <v>205</v>
      </c>
      <c r="L12" s="16" t="s">
        <v>196</v>
      </c>
      <c r="M12" s="16" t="s">
        <v>190</v>
      </c>
      <c r="N12" s="16" t="s">
        <v>368</v>
      </c>
      <c r="O12" s="16" t="s">
        <v>369</v>
      </c>
      <c r="P12" s="27" t="n">
        <v>6815</v>
      </c>
    </row>
    <row r="13" customFormat="false" ht="25.5" hidden="false" customHeight="true" outlineLevel="0" collapsed="false">
      <c r="A13" s="16" t="n">
        <v>9</v>
      </c>
      <c r="B13" s="16" t="s">
        <v>370</v>
      </c>
      <c r="C13" s="16" t="s">
        <v>81</v>
      </c>
      <c r="D13" s="16" t="s">
        <v>371</v>
      </c>
      <c r="E13" s="16" t="s">
        <v>332</v>
      </c>
      <c r="F13" s="16" t="s">
        <v>333</v>
      </c>
      <c r="G13" s="7" t="n">
        <v>7033</v>
      </c>
      <c r="H13" s="13" t="n">
        <f aca="false">G13/23967</f>
        <v>0.293445153753077</v>
      </c>
      <c r="I13" s="16" t="s">
        <v>372</v>
      </c>
      <c r="J13" s="16" t="s">
        <v>335</v>
      </c>
      <c r="K13" s="16" t="s">
        <v>211</v>
      </c>
      <c r="L13" s="16" t="s">
        <v>186</v>
      </c>
      <c r="M13" s="16" t="s">
        <v>336</v>
      </c>
      <c r="N13" s="16" t="s">
        <v>373</v>
      </c>
      <c r="O13" s="16"/>
      <c r="P13" s="27" t="n">
        <v>6778</v>
      </c>
    </row>
    <row r="14" customFormat="false" ht="38.25" hidden="false" customHeight="true" outlineLevel="0" collapsed="false">
      <c r="A14" s="16" t="n">
        <v>10</v>
      </c>
      <c r="B14" s="16" t="s">
        <v>374</v>
      </c>
      <c r="C14" s="16" t="s">
        <v>83</v>
      </c>
      <c r="D14" s="16" t="s">
        <v>375</v>
      </c>
      <c r="E14" s="16" t="s">
        <v>332</v>
      </c>
      <c r="F14" s="16" t="s">
        <v>333</v>
      </c>
      <c r="G14" s="7" t="n">
        <v>6758</v>
      </c>
      <c r="H14" s="13" t="n">
        <f aca="false">G14/23967</f>
        <v>0.281971043518171</v>
      </c>
      <c r="I14" s="16" t="s">
        <v>376</v>
      </c>
      <c r="J14" s="16" t="s">
        <v>341</v>
      </c>
      <c r="K14" s="16" t="s">
        <v>213</v>
      </c>
      <c r="L14" s="16" t="s">
        <v>184</v>
      </c>
      <c r="M14" s="16" t="s">
        <v>377</v>
      </c>
      <c r="N14" s="16" t="s">
        <v>378</v>
      </c>
      <c r="O14" s="16" t="s">
        <v>379</v>
      </c>
      <c r="P14" s="27" t="n">
        <v>6475</v>
      </c>
    </row>
    <row r="15" customFormat="false" ht="38.25" hidden="false" customHeight="true" outlineLevel="0" collapsed="false">
      <c r="A15" s="16" t="n">
        <v>11</v>
      </c>
      <c r="B15" s="16" t="s">
        <v>380</v>
      </c>
      <c r="C15" s="16" t="s">
        <v>83</v>
      </c>
      <c r="D15" s="16" t="s">
        <v>381</v>
      </c>
      <c r="E15" s="16" t="s">
        <v>332</v>
      </c>
      <c r="F15" s="16" t="s">
        <v>333</v>
      </c>
      <c r="G15" s="7" t="n">
        <v>4865</v>
      </c>
      <c r="H15" s="13" t="n">
        <f aca="false">G15/23967</f>
        <v>0.202987441064797</v>
      </c>
      <c r="I15" s="16" t="s">
        <v>382</v>
      </c>
      <c r="J15" s="16" t="s">
        <v>341</v>
      </c>
      <c r="K15" s="16" t="s">
        <v>213</v>
      </c>
      <c r="L15" s="16" t="s">
        <v>184</v>
      </c>
      <c r="M15" s="16" t="s">
        <v>377</v>
      </c>
      <c r="N15" s="16" t="s">
        <v>378</v>
      </c>
      <c r="O15" s="16" t="s">
        <v>379</v>
      </c>
      <c r="P15" s="27" t="n">
        <v>4685</v>
      </c>
    </row>
    <row r="16" customFormat="false" ht="38.25" hidden="false" customHeight="true" outlineLevel="0" collapsed="false">
      <c r="A16" s="16" t="n">
        <v>12</v>
      </c>
      <c r="B16" s="16" t="s">
        <v>383</v>
      </c>
      <c r="C16" s="16" t="s">
        <v>83</v>
      </c>
      <c r="D16" s="16" t="s">
        <v>384</v>
      </c>
      <c r="E16" s="16" t="s">
        <v>332</v>
      </c>
      <c r="F16" s="16" t="s">
        <v>333</v>
      </c>
      <c r="G16" s="7" t="n">
        <v>4779</v>
      </c>
      <c r="H16" s="13" t="n">
        <f aca="false">G16/23967</f>
        <v>0.199399173864063</v>
      </c>
      <c r="I16" s="16" t="s">
        <v>385</v>
      </c>
      <c r="J16" s="16" t="s">
        <v>335</v>
      </c>
      <c r="K16" s="16" t="s">
        <v>205</v>
      </c>
      <c r="L16" s="16" t="s">
        <v>196</v>
      </c>
      <c r="M16" s="16" t="s">
        <v>386</v>
      </c>
      <c r="N16" s="16" t="s">
        <v>387</v>
      </c>
      <c r="O16" s="16" t="s">
        <v>348</v>
      </c>
      <c r="P16" s="27" t="n">
        <v>4694</v>
      </c>
    </row>
    <row r="17" customFormat="false" ht="38.25" hidden="false" customHeight="true" outlineLevel="0" collapsed="false">
      <c r="A17" s="16" t="n">
        <v>13</v>
      </c>
      <c r="B17" s="16" t="s">
        <v>125</v>
      </c>
      <c r="C17" s="16" t="s">
        <v>101</v>
      </c>
      <c r="D17" s="16" t="s">
        <v>388</v>
      </c>
      <c r="E17" s="16" t="s">
        <v>332</v>
      </c>
      <c r="F17" s="16" t="s">
        <v>333</v>
      </c>
      <c r="G17" s="7" t="n">
        <v>4141</v>
      </c>
      <c r="H17" s="13" t="n">
        <f aca="false">G17/23967</f>
        <v>0.17277923811908</v>
      </c>
      <c r="I17" s="16" t="s">
        <v>389</v>
      </c>
      <c r="J17" s="16" t="s">
        <v>341</v>
      </c>
      <c r="K17" s="16" t="s">
        <v>219</v>
      </c>
      <c r="L17" s="16" t="s">
        <v>184</v>
      </c>
      <c r="M17" s="16" t="s">
        <v>390</v>
      </c>
      <c r="N17" s="16" t="s">
        <v>391</v>
      </c>
      <c r="O17" s="16" t="s">
        <v>392</v>
      </c>
      <c r="P17" s="27" t="n">
        <v>4401</v>
      </c>
    </row>
    <row r="18" customFormat="false" ht="63.75" hidden="false" customHeight="true" outlineLevel="0" collapsed="false">
      <c r="A18" s="16" t="n">
        <v>14</v>
      </c>
      <c r="B18" s="16" t="s">
        <v>393</v>
      </c>
      <c r="C18" s="16" t="s">
        <v>81</v>
      </c>
      <c r="D18" s="16" t="s">
        <v>394</v>
      </c>
      <c r="E18" s="16" t="s">
        <v>332</v>
      </c>
      <c r="F18" s="16" t="s">
        <v>333</v>
      </c>
      <c r="G18" s="7" t="n">
        <v>4025</v>
      </c>
      <c r="H18" s="13" t="n">
        <f aca="false">G18/23967</f>
        <v>0.167939249801811</v>
      </c>
      <c r="I18" s="16" t="s">
        <v>395</v>
      </c>
      <c r="J18" s="16" t="s">
        <v>341</v>
      </c>
      <c r="K18" s="16" t="s">
        <v>213</v>
      </c>
      <c r="L18" s="16" t="s">
        <v>184</v>
      </c>
      <c r="M18" s="16" t="s">
        <v>396</v>
      </c>
      <c r="N18" s="16" t="s">
        <v>397</v>
      </c>
      <c r="O18" s="16"/>
      <c r="P18" s="27" t="n">
        <v>3847</v>
      </c>
    </row>
    <row r="19" customFormat="false" ht="25.5" hidden="false" customHeight="true" outlineLevel="0" collapsed="false">
      <c r="A19" s="16" t="n">
        <v>15</v>
      </c>
      <c r="B19" s="16" t="s">
        <v>398</v>
      </c>
      <c r="C19" s="16" t="s">
        <v>85</v>
      </c>
      <c r="D19" s="16" t="s">
        <v>399</v>
      </c>
      <c r="E19" s="16" t="s">
        <v>333</v>
      </c>
      <c r="F19" s="16" t="s">
        <v>333</v>
      </c>
      <c r="G19" s="7" t="n">
        <v>3753</v>
      </c>
      <c r="H19" s="13" t="n">
        <f aca="false">G19/23967</f>
        <v>0.156590311678558</v>
      </c>
      <c r="I19" s="16" t="s">
        <v>400</v>
      </c>
      <c r="J19" s="16" t="s">
        <v>341</v>
      </c>
      <c r="K19" s="16" t="s">
        <v>217</v>
      </c>
      <c r="L19" s="16" t="s">
        <v>184</v>
      </c>
      <c r="M19" s="16" t="s">
        <v>342</v>
      </c>
      <c r="N19" s="16" t="s">
        <v>401</v>
      </c>
      <c r="O19" s="16"/>
      <c r="P19" s="27" t="n">
        <v>3845</v>
      </c>
    </row>
    <row r="20" customFormat="false" ht="38.25" hidden="false" customHeight="true" outlineLevel="0" collapsed="false">
      <c r="A20" s="16" t="n">
        <v>16</v>
      </c>
      <c r="B20" s="16" t="s">
        <v>123</v>
      </c>
      <c r="C20" s="16" t="s">
        <v>101</v>
      </c>
      <c r="D20" s="16" t="s">
        <v>402</v>
      </c>
      <c r="E20" s="16" t="s">
        <v>333</v>
      </c>
      <c r="F20" s="16" t="s">
        <v>333</v>
      </c>
      <c r="G20" s="7" t="n">
        <v>3533</v>
      </c>
      <c r="H20" s="13" t="n">
        <f aca="false">G20/23967</f>
        <v>0.147411023490633</v>
      </c>
      <c r="I20" s="16" t="s">
        <v>403</v>
      </c>
      <c r="J20" s="16" t="s">
        <v>341</v>
      </c>
      <c r="K20" s="16" t="s">
        <v>219</v>
      </c>
      <c r="L20" s="16" t="s">
        <v>184</v>
      </c>
      <c r="M20" s="16" t="s">
        <v>404</v>
      </c>
      <c r="N20" s="16" t="s">
        <v>405</v>
      </c>
      <c r="O20" s="16" t="s">
        <v>348</v>
      </c>
      <c r="P20" s="27" t="n">
        <v>4050</v>
      </c>
    </row>
    <row r="21" customFormat="false" ht="25.5" hidden="false" customHeight="true" outlineLevel="0" collapsed="false">
      <c r="A21" s="16" t="n">
        <v>17</v>
      </c>
      <c r="B21" s="16" t="s">
        <v>406</v>
      </c>
      <c r="C21" s="16" t="s">
        <v>81</v>
      </c>
      <c r="D21" s="16" t="s">
        <v>407</v>
      </c>
      <c r="E21" s="16" t="s">
        <v>332</v>
      </c>
      <c r="F21" s="16" t="s">
        <v>333</v>
      </c>
      <c r="G21" s="7" t="n">
        <v>2810</v>
      </c>
      <c r="H21" s="13" t="n">
        <f aca="false">G21/23967</f>
        <v>0.117244544582134</v>
      </c>
      <c r="I21" s="16" t="s">
        <v>408</v>
      </c>
      <c r="J21" s="16" t="s">
        <v>335</v>
      </c>
      <c r="K21" s="16" t="s">
        <v>211</v>
      </c>
      <c r="L21" s="16" t="s">
        <v>186</v>
      </c>
      <c r="M21" s="16" t="s">
        <v>336</v>
      </c>
      <c r="N21" s="16" t="s">
        <v>373</v>
      </c>
      <c r="O21" s="16"/>
      <c r="P21" s="27" t="n">
        <v>2718</v>
      </c>
    </row>
    <row r="22" customFormat="false" ht="38.25" hidden="false" customHeight="true" outlineLevel="0" collapsed="false">
      <c r="A22" s="16" t="n">
        <v>18</v>
      </c>
      <c r="B22" s="16" t="s">
        <v>409</v>
      </c>
      <c r="C22" s="16" t="s">
        <v>81</v>
      </c>
      <c r="D22" s="16" t="s">
        <v>410</v>
      </c>
      <c r="E22" s="16" t="s">
        <v>332</v>
      </c>
      <c r="F22" s="16" t="s">
        <v>333</v>
      </c>
      <c r="G22" s="7" t="n">
        <v>2231</v>
      </c>
      <c r="H22" s="13" t="n">
        <f aca="false">G22/23967</f>
        <v>0.0930863270330037</v>
      </c>
      <c r="I22" s="16" t="s">
        <v>411</v>
      </c>
      <c r="J22" s="16" t="s">
        <v>335</v>
      </c>
      <c r="K22" s="16" t="s">
        <v>211</v>
      </c>
      <c r="L22" s="16" t="s">
        <v>186</v>
      </c>
      <c r="M22" s="16" t="s">
        <v>336</v>
      </c>
      <c r="N22" s="16" t="s">
        <v>373</v>
      </c>
      <c r="O22" s="16"/>
      <c r="P22" s="27" t="n">
        <v>2154</v>
      </c>
    </row>
    <row r="23" customFormat="false" ht="25.5" hidden="false" customHeight="true" outlineLevel="0" collapsed="false">
      <c r="A23" s="16" t="n">
        <v>19</v>
      </c>
      <c r="B23" s="16" t="s">
        <v>412</v>
      </c>
      <c r="C23" s="16" t="s">
        <v>81</v>
      </c>
      <c r="D23" s="16" t="s">
        <v>413</v>
      </c>
      <c r="E23" s="16" t="s">
        <v>332</v>
      </c>
      <c r="F23" s="16" t="s">
        <v>333</v>
      </c>
      <c r="G23" s="7" t="n">
        <v>2089</v>
      </c>
      <c r="H23" s="13" t="n">
        <f aca="false">G23/23967</f>
        <v>0.0871615137480703</v>
      </c>
      <c r="I23" s="16" t="s">
        <v>414</v>
      </c>
      <c r="J23" s="16" t="s">
        <v>335</v>
      </c>
      <c r="K23" s="16" t="s">
        <v>211</v>
      </c>
      <c r="L23" s="16" t="s">
        <v>186</v>
      </c>
      <c r="M23" s="16" t="s">
        <v>336</v>
      </c>
      <c r="N23" s="16" t="s">
        <v>373</v>
      </c>
      <c r="O23" s="16"/>
      <c r="P23" s="27" t="n">
        <v>2043</v>
      </c>
    </row>
    <row r="24" customFormat="false" ht="25.5" hidden="false" customHeight="true" outlineLevel="0" collapsed="false">
      <c r="A24" s="16" t="n">
        <v>20</v>
      </c>
      <c r="B24" s="16" t="s">
        <v>128</v>
      </c>
      <c r="C24" s="16" t="s">
        <v>83</v>
      </c>
      <c r="D24" s="16" t="s">
        <v>415</v>
      </c>
      <c r="E24" s="16" t="s">
        <v>332</v>
      </c>
      <c r="F24" s="16" t="s">
        <v>333</v>
      </c>
      <c r="G24" s="7" t="n">
        <v>2031</v>
      </c>
      <c r="H24" s="13" t="n">
        <f aca="false">G24/23967</f>
        <v>0.0847415195894355</v>
      </c>
      <c r="I24" s="16" t="s">
        <v>416</v>
      </c>
      <c r="J24" s="16" t="s">
        <v>341</v>
      </c>
      <c r="K24" s="16" t="s">
        <v>219</v>
      </c>
      <c r="L24" s="16" t="s">
        <v>184</v>
      </c>
      <c r="M24" s="16" t="s">
        <v>417</v>
      </c>
      <c r="N24" s="16" t="s">
        <v>418</v>
      </c>
      <c r="O24" s="16" t="s">
        <v>419</v>
      </c>
      <c r="P24" s="27" t="n">
        <v>1110</v>
      </c>
    </row>
    <row r="25" customFormat="false" ht="38.25" hidden="false" customHeight="true" outlineLevel="0" collapsed="false">
      <c r="A25" s="16" t="n">
        <v>21</v>
      </c>
      <c r="B25" s="16" t="s">
        <v>420</v>
      </c>
      <c r="C25" s="16" t="s">
        <v>85</v>
      </c>
      <c r="D25" s="16" t="s">
        <v>421</v>
      </c>
      <c r="E25" s="16" t="s">
        <v>332</v>
      </c>
      <c r="F25" s="16" t="s">
        <v>333</v>
      </c>
      <c r="G25" s="7" t="n">
        <v>1810</v>
      </c>
      <c r="H25" s="13" t="n">
        <f aca="false">G25/23967</f>
        <v>0.0755205073642926</v>
      </c>
      <c r="I25" s="16" t="s">
        <v>422</v>
      </c>
      <c r="J25" s="16" t="s">
        <v>341</v>
      </c>
      <c r="K25" s="16" t="s">
        <v>215</v>
      </c>
      <c r="L25" s="16" t="s">
        <v>184</v>
      </c>
      <c r="M25" s="16" t="s">
        <v>423</v>
      </c>
      <c r="N25" s="16" t="s">
        <v>424</v>
      </c>
      <c r="O25" s="16"/>
      <c r="P25" s="27" t="n">
        <v>1691</v>
      </c>
    </row>
    <row r="26" customFormat="false" ht="38.25" hidden="false" customHeight="true" outlineLevel="0" collapsed="false">
      <c r="A26" s="16" t="n">
        <v>22</v>
      </c>
      <c r="B26" s="16" t="s">
        <v>425</v>
      </c>
      <c r="C26" s="16" t="s">
        <v>87</v>
      </c>
      <c r="D26" s="16" t="s">
        <v>426</v>
      </c>
      <c r="E26" s="16" t="s">
        <v>332</v>
      </c>
      <c r="F26" s="16" t="s">
        <v>333</v>
      </c>
      <c r="G26" s="7" t="n">
        <v>1583</v>
      </c>
      <c r="H26" s="13" t="n">
        <f aca="false">G26/23967</f>
        <v>0.0660491509158426</v>
      </c>
      <c r="I26" s="16" t="s">
        <v>427</v>
      </c>
      <c r="J26" s="16" t="s">
        <v>335</v>
      </c>
      <c r="K26" s="16" t="s">
        <v>205</v>
      </c>
      <c r="L26" s="16" t="s">
        <v>196</v>
      </c>
      <c r="M26" s="16" t="s">
        <v>190</v>
      </c>
      <c r="N26" s="16" t="s">
        <v>368</v>
      </c>
      <c r="O26" s="16"/>
      <c r="P26" s="27" t="n">
        <v>1522</v>
      </c>
    </row>
    <row r="27" customFormat="false" ht="25.5" hidden="false" customHeight="true" outlineLevel="0" collapsed="false">
      <c r="A27" s="16" t="n">
        <v>23</v>
      </c>
      <c r="B27" s="16" t="s">
        <v>428</v>
      </c>
      <c r="C27" s="16" t="s">
        <v>81</v>
      </c>
      <c r="D27" s="16" t="s">
        <v>429</v>
      </c>
      <c r="E27" s="16" t="s">
        <v>332</v>
      </c>
      <c r="F27" s="16" t="s">
        <v>333</v>
      </c>
      <c r="G27" s="7" t="n">
        <v>1578</v>
      </c>
      <c r="H27" s="13" t="n">
        <f aca="false">G27/23967</f>
        <v>0.0658405307297534</v>
      </c>
      <c r="I27" s="16" t="s">
        <v>430</v>
      </c>
      <c r="J27" s="16" t="s">
        <v>335</v>
      </c>
      <c r="K27" s="16" t="s">
        <v>211</v>
      </c>
      <c r="L27" s="16" t="s">
        <v>186</v>
      </c>
      <c r="M27" s="16" t="s">
        <v>336</v>
      </c>
      <c r="N27" s="16" t="s">
        <v>373</v>
      </c>
      <c r="O27" s="16"/>
      <c r="P27" s="27" t="n">
        <v>1524</v>
      </c>
    </row>
    <row r="28" customFormat="false" ht="25.5" hidden="false" customHeight="true" outlineLevel="0" collapsed="false">
      <c r="A28" s="16" t="n">
        <v>24</v>
      </c>
      <c r="B28" s="16" t="s">
        <v>431</v>
      </c>
      <c r="C28" s="16" t="s">
        <v>83</v>
      </c>
      <c r="D28" s="16" t="s">
        <v>432</v>
      </c>
      <c r="E28" s="16" t="s">
        <v>332</v>
      </c>
      <c r="F28" s="16" t="s">
        <v>333</v>
      </c>
      <c r="G28" s="7" t="n">
        <v>1432</v>
      </c>
      <c r="H28" s="13" t="n">
        <f aca="false">G28/23967</f>
        <v>0.0597488212959486</v>
      </c>
      <c r="I28" s="16" t="s">
        <v>433</v>
      </c>
      <c r="J28" s="16" t="s">
        <v>335</v>
      </c>
      <c r="K28" s="16" t="s">
        <v>205</v>
      </c>
      <c r="L28" s="16" t="s">
        <v>196</v>
      </c>
      <c r="M28" s="16" t="s">
        <v>386</v>
      </c>
      <c r="N28" s="16" t="s">
        <v>387</v>
      </c>
      <c r="O28" s="16"/>
      <c r="P28" s="27" t="n">
        <v>1372</v>
      </c>
    </row>
    <row r="29" customFormat="false" ht="38.25" hidden="false" customHeight="true" outlineLevel="0" collapsed="false">
      <c r="A29" s="16" t="n">
        <v>25</v>
      </c>
      <c r="B29" s="16" t="s">
        <v>434</v>
      </c>
      <c r="C29" s="16" t="s">
        <v>83</v>
      </c>
      <c r="D29" s="16" t="s">
        <v>435</v>
      </c>
      <c r="E29" s="16" t="s">
        <v>332</v>
      </c>
      <c r="F29" s="16" t="s">
        <v>333</v>
      </c>
      <c r="G29" s="7" t="n">
        <v>1296</v>
      </c>
      <c r="H29" s="13" t="n">
        <f aca="false">G29/23967</f>
        <v>0.0540743522343222</v>
      </c>
      <c r="I29" s="16" t="s">
        <v>436</v>
      </c>
      <c r="J29" s="16" t="s">
        <v>335</v>
      </c>
      <c r="K29" s="16" t="s">
        <v>205</v>
      </c>
      <c r="L29" s="16" t="s">
        <v>196</v>
      </c>
      <c r="M29" s="16" t="s">
        <v>386</v>
      </c>
      <c r="N29" s="16" t="s">
        <v>387</v>
      </c>
      <c r="O29" s="16"/>
      <c r="P29" s="27" t="n">
        <v>1260</v>
      </c>
    </row>
    <row r="30" customFormat="false" ht="38.25" hidden="false" customHeight="true" outlineLevel="0" collapsed="false">
      <c r="A30" s="16" t="n">
        <v>26</v>
      </c>
      <c r="B30" s="16" t="s">
        <v>121</v>
      </c>
      <c r="C30" s="16" t="s">
        <v>85</v>
      </c>
      <c r="D30" s="16" t="s">
        <v>437</v>
      </c>
      <c r="E30" s="16" t="s">
        <v>333</v>
      </c>
      <c r="F30" s="16" t="s">
        <v>333</v>
      </c>
      <c r="G30" s="7" t="n">
        <v>1271</v>
      </c>
      <c r="H30" s="13" t="n">
        <f aca="false">G30/23967</f>
        <v>0.0530312513038762</v>
      </c>
      <c r="I30" s="16" t="s">
        <v>438</v>
      </c>
      <c r="J30" s="16" t="s">
        <v>341</v>
      </c>
      <c r="K30" s="16" t="s">
        <v>219</v>
      </c>
      <c r="L30" s="16" t="s">
        <v>184</v>
      </c>
      <c r="M30" s="16" t="s">
        <v>439</v>
      </c>
      <c r="N30" s="16" t="s">
        <v>440</v>
      </c>
      <c r="O30" s="16" t="s">
        <v>441</v>
      </c>
      <c r="P30" s="27" t="n">
        <v>1912</v>
      </c>
    </row>
    <row r="31" customFormat="false" ht="51" hidden="false" customHeight="true" outlineLevel="0" collapsed="false">
      <c r="A31" s="16" t="n">
        <v>27</v>
      </c>
      <c r="B31" s="16" t="s">
        <v>442</v>
      </c>
      <c r="C31" s="16" t="s">
        <v>101</v>
      </c>
      <c r="D31" s="16" t="s">
        <v>443</v>
      </c>
      <c r="E31" s="16" t="s">
        <v>332</v>
      </c>
      <c r="F31" s="16" t="s">
        <v>333</v>
      </c>
      <c r="G31" s="7" t="n">
        <v>1264</v>
      </c>
      <c r="H31" s="13" t="n">
        <f aca="false">G31/23967</f>
        <v>0.0527391830433513</v>
      </c>
      <c r="I31" s="16" t="s">
        <v>444</v>
      </c>
      <c r="J31" s="16" t="s">
        <v>335</v>
      </c>
      <c r="K31" s="16" t="s">
        <v>207</v>
      </c>
      <c r="L31" s="16" t="s">
        <v>182</v>
      </c>
      <c r="M31" s="16" t="s">
        <v>445</v>
      </c>
      <c r="N31" s="16" t="s">
        <v>446</v>
      </c>
      <c r="O31" s="16"/>
      <c r="P31" s="27" t="n">
        <v>1214</v>
      </c>
    </row>
    <row r="32" customFormat="false" ht="25.5" hidden="false" customHeight="true" outlineLevel="0" collapsed="false">
      <c r="A32" s="16" t="n">
        <v>28</v>
      </c>
      <c r="B32" s="16" t="s">
        <v>447</v>
      </c>
      <c r="C32" s="16" t="s">
        <v>85</v>
      </c>
      <c r="D32" s="16" t="s">
        <v>448</v>
      </c>
      <c r="E32" s="16" t="s">
        <v>333</v>
      </c>
      <c r="F32" s="16" t="s">
        <v>333</v>
      </c>
      <c r="G32" s="7" t="n">
        <v>1091</v>
      </c>
      <c r="H32" s="13" t="n">
        <f aca="false">G32/23967</f>
        <v>0.0455209246046647</v>
      </c>
      <c r="I32" s="16" t="s">
        <v>449</v>
      </c>
      <c r="J32" s="16" t="s">
        <v>341</v>
      </c>
      <c r="K32" s="16" t="s">
        <v>217</v>
      </c>
      <c r="L32" s="16" t="s">
        <v>184</v>
      </c>
      <c r="M32" s="16" t="s">
        <v>342</v>
      </c>
      <c r="N32" s="16" t="s">
        <v>401</v>
      </c>
      <c r="O32" s="16" t="s">
        <v>450</v>
      </c>
      <c r="P32" s="27" t="n">
        <v>1007</v>
      </c>
    </row>
    <row r="33" customFormat="false" ht="38.25" hidden="false" customHeight="true" outlineLevel="0" collapsed="false">
      <c r="A33" s="16" t="n">
        <v>29</v>
      </c>
      <c r="B33" s="16" t="s">
        <v>451</v>
      </c>
      <c r="C33" s="16" t="s">
        <v>81</v>
      </c>
      <c r="D33" s="16" t="s">
        <v>452</v>
      </c>
      <c r="E33" s="16" t="s">
        <v>332</v>
      </c>
      <c r="F33" s="16" t="s">
        <v>333</v>
      </c>
      <c r="G33" s="7" t="n">
        <v>997</v>
      </c>
      <c r="H33" s="13" t="n">
        <f aca="false">G33/23967</f>
        <v>0.0415988651061877</v>
      </c>
      <c r="I33" s="16" t="s">
        <v>453</v>
      </c>
      <c r="J33" s="16" t="s">
        <v>335</v>
      </c>
      <c r="K33" s="16" t="s">
        <v>211</v>
      </c>
      <c r="L33" s="16" t="s">
        <v>186</v>
      </c>
      <c r="M33" s="16" t="s">
        <v>336</v>
      </c>
      <c r="N33" s="16" t="s">
        <v>373</v>
      </c>
      <c r="O33" s="16"/>
      <c r="P33" s="27" t="n">
        <v>988</v>
      </c>
    </row>
    <row r="34" customFormat="false" ht="38.25" hidden="false" customHeight="true" outlineLevel="0" collapsed="false">
      <c r="A34" s="16" t="n">
        <v>30</v>
      </c>
      <c r="B34" s="16" t="s">
        <v>454</v>
      </c>
      <c r="C34" s="16" t="s">
        <v>83</v>
      </c>
      <c r="D34" s="16" t="s">
        <v>455</v>
      </c>
      <c r="E34" s="16" t="s">
        <v>333</v>
      </c>
      <c r="F34" s="16" t="s">
        <v>333</v>
      </c>
      <c r="G34" s="7" t="n">
        <v>858</v>
      </c>
      <c r="H34" s="13" t="n">
        <f aca="false">G34/23967</f>
        <v>0.0357992239329078</v>
      </c>
      <c r="I34" s="16" t="s">
        <v>456</v>
      </c>
      <c r="J34" s="16" t="s">
        <v>335</v>
      </c>
      <c r="K34" s="16" t="s">
        <v>211</v>
      </c>
      <c r="L34" s="16" t="s">
        <v>190</v>
      </c>
      <c r="M34" s="16" t="s">
        <v>336</v>
      </c>
      <c r="N34" s="16" t="s">
        <v>362</v>
      </c>
      <c r="O34" s="16"/>
      <c r="P34" s="27" t="n">
        <v>828</v>
      </c>
    </row>
    <row r="35" customFormat="false" ht="25.5" hidden="false" customHeight="true" outlineLevel="0" collapsed="false">
      <c r="A35" s="16" t="n">
        <v>31</v>
      </c>
      <c r="B35" s="16" t="s">
        <v>457</v>
      </c>
      <c r="C35" s="16" t="s">
        <v>83</v>
      </c>
      <c r="D35" s="16" t="s">
        <v>458</v>
      </c>
      <c r="E35" s="16" t="s">
        <v>332</v>
      </c>
      <c r="F35" s="16" t="s">
        <v>333</v>
      </c>
      <c r="G35" s="7" t="n">
        <v>857</v>
      </c>
      <c r="H35" s="13" t="n">
        <f aca="false">G35/23967</f>
        <v>0.0357574998956899</v>
      </c>
      <c r="I35" s="16" t="s">
        <v>459</v>
      </c>
      <c r="J35" s="16" t="s">
        <v>335</v>
      </c>
      <c r="K35" s="16" t="s">
        <v>207</v>
      </c>
      <c r="L35" s="16" t="s">
        <v>182</v>
      </c>
      <c r="M35" s="16" t="s">
        <v>357</v>
      </c>
      <c r="N35" s="16" t="s">
        <v>358</v>
      </c>
      <c r="O35" s="16"/>
      <c r="P35" s="27" t="n">
        <v>837</v>
      </c>
    </row>
    <row r="36" customFormat="false" ht="38.25" hidden="false" customHeight="true" outlineLevel="0" collapsed="false">
      <c r="A36" s="16" t="n">
        <v>32</v>
      </c>
      <c r="B36" s="16" t="s">
        <v>460</v>
      </c>
      <c r="C36" s="16" t="s">
        <v>89</v>
      </c>
      <c r="D36" s="16" t="s">
        <v>461</v>
      </c>
      <c r="E36" s="16" t="s">
        <v>333</v>
      </c>
      <c r="F36" s="16" t="s">
        <v>333</v>
      </c>
      <c r="G36" s="7" t="n">
        <v>642</v>
      </c>
      <c r="H36" s="13" t="n">
        <f aca="false">G36/23967</f>
        <v>0.0267868318938541</v>
      </c>
      <c r="I36" s="16" t="s">
        <v>462</v>
      </c>
      <c r="J36" s="16" t="s">
        <v>335</v>
      </c>
      <c r="K36" s="16" t="s">
        <v>205</v>
      </c>
      <c r="L36" s="16" t="s">
        <v>196</v>
      </c>
      <c r="M36" s="16" t="s">
        <v>190</v>
      </c>
      <c r="N36" s="16" t="s">
        <v>368</v>
      </c>
      <c r="O36" s="16" t="s">
        <v>463</v>
      </c>
      <c r="P36" s="27" t="n">
        <v>548</v>
      </c>
    </row>
    <row r="37" customFormat="false" ht="38.25" hidden="false" customHeight="true" outlineLevel="0" collapsed="false">
      <c r="A37" s="16" t="n">
        <v>33</v>
      </c>
      <c r="B37" s="16" t="s">
        <v>464</v>
      </c>
      <c r="C37" s="16" t="s">
        <v>91</v>
      </c>
      <c r="D37" s="16" t="s">
        <v>461</v>
      </c>
      <c r="E37" s="16" t="s">
        <v>333</v>
      </c>
      <c r="F37" s="16" t="s">
        <v>333</v>
      </c>
      <c r="G37" s="7" t="n">
        <v>636</v>
      </c>
      <c r="H37" s="13" t="n">
        <f aca="false">G37/23967</f>
        <v>0.026536487670547</v>
      </c>
      <c r="I37" s="16" t="s">
        <v>462</v>
      </c>
      <c r="J37" s="16" t="s">
        <v>335</v>
      </c>
      <c r="K37" s="16" t="s">
        <v>205</v>
      </c>
      <c r="L37" s="16" t="s">
        <v>196</v>
      </c>
      <c r="M37" s="16" t="s">
        <v>190</v>
      </c>
      <c r="N37" s="16" t="s">
        <v>368</v>
      </c>
      <c r="O37" s="16" t="s">
        <v>369</v>
      </c>
      <c r="P37" s="27" t="n">
        <v>542</v>
      </c>
    </row>
    <row r="38" customFormat="false" ht="38.25" hidden="false" customHeight="true" outlineLevel="0" collapsed="false">
      <c r="A38" s="16" t="n">
        <v>34</v>
      </c>
      <c r="B38" s="16" t="s">
        <v>465</v>
      </c>
      <c r="C38" s="16" t="s">
        <v>101</v>
      </c>
      <c r="D38" s="16" t="s">
        <v>466</v>
      </c>
      <c r="E38" s="16" t="s">
        <v>332</v>
      </c>
      <c r="F38" s="16" t="s">
        <v>333</v>
      </c>
      <c r="G38" s="7" t="n">
        <v>582</v>
      </c>
      <c r="H38" s="13" t="n">
        <f aca="false">G38/23967</f>
        <v>0.0242833896607836</v>
      </c>
      <c r="I38" s="16" t="s">
        <v>467</v>
      </c>
      <c r="J38" s="16" t="s">
        <v>341</v>
      </c>
      <c r="K38" s="16" t="s">
        <v>219</v>
      </c>
      <c r="L38" s="16" t="s">
        <v>184</v>
      </c>
      <c r="M38" s="16" t="s">
        <v>417</v>
      </c>
      <c r="N38" s="16" t="s">
        <v>418</v>
      </c>
      <c r="O38" s="16" t="s">
        <v>441</v>
      </c>
      <c r="P38" s="27" t="n">
        <v>491</v>
      </c>
    </row>
    <row r="39" customFormat="false" ht="25.5" hidden="false" customHeight="true" outlineLevel="0" collapsed="false">
      <c r="A39" s="16" t="n">
        <v>35</v>
      </c>
      <c r="B39" s="16" t="s">
        <v>468</v>
      </c>
      <c r="C39" s="16" t="s">
        <v>101</v>
      </c>
      <c r="D39" s="16" t="s">
        <v>469</v>
      </c>
      <c r="E39" s="16" t="s">
        <v>333</v>
      </c>
      <c r="F39" s="16" t="s">
        <v>333</v>
      </c>
      <c r="G39" s="7" t="n">
        <v>514</v>
      </c>
      <c r="H39" s="13" t="n">
        <f aca="false">G39/23967</f>
        <v>0.0214461551299704</v>
      </c>
      <c r="I39" s="16" t="s">
        <v>470</v>
      </c>
      <c r="J39" s="16" t="s">
        <v>335</v>
      </c>
      <c r="K39" s="16" t="s">
        <v>207</v>
      </c>
      <c r="L39" s="16" t="s">
        <v>182</v>
      </c>
      <c r="M39" s="16" t="s">
        <v>471</v>
      </c>
      <c r="N39" s="16" t="s">
        <v>472</v>
      </c>
      <c r="O39" s="16"/>
      <c r="P39" s="27" t="n">
        <v>486</v>
      </c>
    </row>
    <row r="40" customFormat="false" ht="25.5" hidden="false" customHeight="true" outlineLevel="0" collapsed="false">
      <c r="A40" s="16" t="n">
        <v>36</v>
      </c>
      <c r="B40" s="16" t="s">
        <v>473</v>
      </c>
      <c r="C40" s="16" t="s">
        <v>101</v>
      </c>
      <c r="D40" s="16" t="s">
        <v>474</v>
      </c>
      <c r="E40" s="16" t="s">
        <v>333</v>
      </c>
      <c r="F40" s="16" t="s">
        <v>333</v>
      </c>
      <c r="G40" s="7" t="n">
        <v>480</v>
      </c>
      <c r="H40" s="13" t="n">
        <f aca="false">G40/23967</f>
        <v>0.0200275378645638</v>
      </c>
      <c r="I40" s="16" t="s">
        <v>475</v>
      </c>
      <c r="J40" s="16" t="s">
        <v>335</v>
      </c>
      <c r="K40" s="16" t="s">
        <v>207</v>
      </c>
      <c r="L40" s="16" t="s">
        <v>182</v>
      </c>
      <c r="M40" s="16" t="s">
        <v>357</v>
      </c>
      <c r="N40" s="16" t="s">
        <v>358</v>
      </c>
      <c r="O40" s="16"/>
      <c r="P40" s="27" t="n">
        <v>464</v>
      </c>
    </row>
    <row r="41" customFormat="false" ht="25.5" hidden="false" customHeight="true" outlineLevel="0" collapsed="false">
      <c r="A41" s="16" t="n">
        <v>37</v>
      </c>
      <c r="B41" s="16" t="s">
        <v>476</v>
      </c>
      <c r="C41" s="16" t="s">
        <v>83</v>
      </c>
      <c r="D41" s="16" t="s">
        <v>477</v>
      </c>
      <c r="E41" s="16" t="s">
        <v>332</v>
      </c>
      <c r="F41" s="16" t="s">
        <v>333</v>
      </c>
      <c r="G41" s="7" t="n">
        <v>475</v>
      </c>
      <c r="H41" s="13" t="n">
        <f aca="false">G41/23967</f>
        <v>0.0198189176784746</v>
      </c>
      <c r="I41" s="16" t="s">
        <v>478</v>
      </c>
      <c r="J41" s="16" t="s">
        <v>335</v>
      </c>
      <c r="K41" s="16" t="s">
        <v>211</v>
      </c>
      <c r="L41" s="16" t="s">
        <v>188</v>
      </c>
      <c r="M41" s="16" t="s">
        <v>336</v>
      </c>
      <c r="N41" s="16" t="s">
        <v>479</v>
      </c>
      <c r="O41" s="16"/>
      <c r="P41" s="27" t="n">
        <v>444</v>
      </c>
    </row>
    <row r="42" customFormat="false" ht="25.5" hidden="false" customHeight="true" outlineLevel="0" collapsed="false">
      <c r="A42" s="16" t="n">
        <v>38</v>
      </c>
      <c r="B42" s="16" t="s">
        <v>480</v>
      </c>
      <c r="C42" s="16" t="s">
        <v>101</v>
      </c>
      <c r="D42" s="16" t="s">
        <v>481</v>
      </c>
      <c r="E42" s="16" t="s">
        <v>332</v>
      </c>
      <c r="F42" s="16" t="s">
        <v>333</v>
      </c>
      <c r="G42" s="7" t="n">
        <v>454</v>
      </c>
      <c r="H42" s="13" t="n">
        <f aca="false">G42/23967</f>
        <v>0.0189427128968999</v>
      </c>
      <c r="I42" s="16" t="s">
        <v>482</v>
      </c>
      <c r="J42" s="16" t="s">
        <v>335</v>
      </c>
      <c r="K42" s="16" t="s">
        <v>207</v>
      </c>
      <c r="L42" s="16" t="s">
        <v>182</v>
      </c>
      <c r="M42" s="16" t="s">
        <v>445</v>
      </c>
      <c r="N42" s="16" t="s">
        <v>446</v>
      </c>
      <c r="O42" s="16"/>
      <c r="P42" s="27" t="n">
        <v>473</v>
      </c>
    </row>
    <row r="43" customFormat="false" ht="25.5" hidden="false" customHeight="true" outlineLevel="0" collapsed="false">
      <c r="A43" s="16" t="n">
        <v>39</v>
      </c>
      <c r="B43" s="16" t="s">
        <v>483</v>
      </c>
      <c r="C43" s="16" t="s">
        <v>83</v>
      </c>
      <c r="D43" s="16" t="s">
        <v>484</v>
      </c>
      <c r="E43" s="16" t="s">
        <v>332</v>
      </c>
      <c r="F43" s="16" t="s">
        <v>333</v>
      </c>
      <c r="G43" s="7" t="n">
        <v>438</v>
      </c>
      <c r="H43" s="13" t="n">
        <f aca="false">G43/23967</f>
        <v>0.0182751283014144</v>
      </c>
      <c r="I43" s="16" t="s">
        <v>485</v>
      </c>
      <c r="J43" s="16" t="s">
        <v>341</v>
      </c>
      <c r="K43" s="16" t="s">
        <v>213</v>
      </c>
      <c r="L43" s="16" t="s">
        <v>184</v>
      </c>
      <c r="M43" s="16" t="s">
        <v>377</v>
      </c>
      <c r="N43" s="16" t="s">
        <v>486</v>
      </c>
      <c r="O43" s="16" t="s">
        <v>379</v>
      </c>
      <c r="P43" s="27" t="n">
        <v>410</v>
      </c>
    </row>
    <row r="44" customFormat="false" ht="51" hidden="false" customHeight="true" outlineLevel="0" collapsed="false">
      <c r="A44" s="16" t="n">
        <v>40</v>
      </c>
      <c r="B44" s="16" t="s">
        <v>487</v>
      </c>
      <c r="C44" s="16" t="s">
        <v>85</v>
      </c>
      <c r="D44" s="16" t="s">
        <v>488</v>
      </c>
      <c r="E44" s="16" t="s">
        <v>333</v>
      </c>
      <c r="F44" s="16" t="s">
        <v>333</v>
      </c>
      <c r="G44" s="7" t="n">
        <v>432</v>
      </c>
      <c r="H44" s="13" t="n">
        <f aca="false">G44/23967</f>
        <v>0.0180247840781074</v>
      </c>
      <c r="I44" s="16" t="s">
        <v>489</v>
      </c>
      <c r="J44" s="16" t="s">
        <v>341</v>
      </c>
      <c r="K44" s="16" t="s">
        <v>215</v>
      </c>
      <c r="L44" s="16" t="s">
        <v>184</v>
      </c>
      <c r="M44" s="16" t="s">
        <v>423</v>
      </c>
      <c r="N44" s="16" t="s">
        <v>424</v>
      </c>
      <c r="O44" s="16" t="s">
        <v>490</v>
      </c>
      <c r="P44" s="27" t="n">
        <v>418</v>
      </c>
    </row>
    <row r="45" customFormat="false" ht="25.5" hidden="false" customHeight="true" outlineLevel="0" collapsed="false">
      <c r="A45" s="16" t="n">
        <v>41</v>
      </c>
      <c r="B45" s="16" t="s">
        <v>491</v>
      </c>
      <c r="C45" s="16" t="s">
        <v>79</v>
      </c>
      <c r="D45" s="16" t="s">
        <v>492</v>
      </c>
      <c r="E45" s="16" t="s">
        <v>332</v>
      </c>
      <c r="F45" s="16" t="s">
        <v>333</v>
      </c>
      <c r="G45" s="7" t="n">
        <v>425</v>
      </c>
      <c r="H45" s="13" t="n">
        <f aca="false">G45/23967</f>
        <v>0.0177327158175825</v>
      </c>
      <c r="I45" s="16" t="s">
        <v>493</v>
      </c>
      <c r="J45" s="16" t="s">
        <v>335</v>
      </c>
      <c r="K45" s="16" t="s">
        <v>205</v>
      </c>
      <c r="L45" s="16" t="s">
        <v>196</v>
      </c>
      <c r="M45" s="16" t="s">
        <v>190</v>
      </c>
      <c r="N45" s="16" t="s">
        <v>368</v>
      </c>
      <c r="O45" s="16" t="s">
        <v>494</v>
      </c>
      <c r="P45" s="27" t="n">
        <v>410</v>
      </c>
    </row>
    <row r="46" customFormat="false" ht="25.5" hidden="false" customHeight="true" outlineLevel="0" collapsed="false">
      <c r="A46" s="16" t="n">
        <v>42</v>
      </c>
      <c r="B46" s="16" t="s">
        <v>495</v>
      </c>
      <c r="C46" s="16" t="s">
        <v>79</v>
      </c>
      <c r="D46" s="16" t="s">
        <v>496</v>
      </c>
      <c r="E46" s="16" t="s">
        <v>332</v>
      </c>
      <c r="F46" s="16" t="s">
        <v>333</v>
      </c>
      <c r="G46" s="7" t="n">
        <v>420</v>
      </c>
      <c r="H46" s="13" t="n">
        <f aca="false">G46/23967</f>
        <v>0.0175240956314933</v>
      </c>
      <c r="I46" s="16" t="s">
        <v>497</v>
      </c>
      <c r="J46" s="16" t="s">
        <v>335</v>
      </c>
      <c r="K46" s="16" t="s">
        <v>209</v>
      </c>
      <c r="L46" s="16" t="s">
        <v>198</v>
      </c>
      <c r="M46" s="16" t="s">
        <v>184</v>
      </c>
      <c r="N46" s="16" t="s">
        <v>498</v>
      </c>
      <c r="O46" s="16"/>
      <c r="P46" s="27" t="n">
        <v>388</v>
      </c>
    </row>
    <row r="47" customFormat="false" ht="25.5" hidden="false" customHeight="true" outlineLevel="0" collapsed="false">
      <c r="A47" s="16" t="n">
        <v>43</v>
      </c>
      <c r="B47" s="16" t="s">
        <v>499</v>
      </c>
      <c r="C47" s="16" t="s">
        <v>81</v>
      </c>
      <c r="D47" s="16" t="s">
        <v>500</v>
      </c>
      <c r="E47" s="16" t="s">
        <v>333</v>
      </c>
      <c r="F47" s="16" t="s">
        <v>333</v>
      </c>
      <c r="G47" s="7" t="n">
        <v>396</v>
      </c>
      <c r="H47" s="13" t="n">
        <f aca="false">G47/23967</f>
        <v>0.0165227187382651</v>
      </c>
      <c r="I47" s="16" t="s">
        <v>501</v>
      </c>
      <c r="J47" s="16" t="s">
        <v>335</v>
      </c>
      <c r="K47" s="16" t="s">
        <v>211</v>
      </c>
      <c r="L47" s="16" t="s">
        <v>186</v>
      </c>
      <c r="M47" s="16" t="s">
        <v>336</v>
      </c>
      <c r="N47" s="16" t="s">
        <v>373</v>
      </c>
      <c r="O47" s="16" t="s">
        <v>502</v>
      </c>
      <c r="P47" s="27" t="n">
        <v>367</v>
      </c>
    </row>
    <row r="48" customFormat="false" ht="25.5" hidden="false" customHeight="true" outlineLevel="0" collapsed="false">
      <c r="A48" s="16" t="n">
        <v>44</v>
      </c>
      <c r="B48" s="16" t="s">
        <v>503</v>
      </c>
      <c r="C48" s="16" t="s">
        <v>83</v>
      </c>
      <c r="D48" s="16" t="s">
        <v>504</v>
      </c>
      <c r="E48" s="16" t="s">
        <v>333</v>
      </c>
      <c r="F48" s="16" t="s">
        <v>333</v>
      </c>
      <c r="G48" s="7" t="n">
        <v>368</v>
      </c>
      <c r="H48" s="13" t="n">
        <f aca="false">G48/23967</f>
        <v>0.0153544456961656</v>
      </c>
      <c r="I48" s="16" t="s">
        <v>505</v>
      </c>
      <c r="J48" s="16" t="s">
        <v>335</v>
      </c>
      <c r="K48" s="16" t="s">
        <v>205</v>
      </c>
      <c r="L48" s="16" t="s">
        <v>196</v>
      </c>
      <c r="M48" s="16" t="s">
        <v>386</v>
      </c>
      <c r="N48" s="16" t="s">
        <v>387</v>
      </c>
      <c r="O48" s="16"/>
      <c r="P48" s="27" t="n">
        <v>358</v>
      </c>
    </row>
    <row r="49" customFormat="false" ht="38.25" hidden="false" customHeight="true" outlineLevel="0" collapsed="false">
      <c r="A49" s="16" t="n">
        <v>45</v>
      </c>
      <c r="B49" s="16" t="s">
        <v>506</v>
      </c>
      <c r="C49" s="16" t="s">
        <v>99</v>
      </c>
      <c r="D49" s="16" t="s">
        <v>507</v>
      </c>
      <c r="E49" s="16" t="s">
        <v>333</v>
      </c>
      <c r="F49" s="16" t="s">
        <v>333</v>
      </c>
      <c r="G49" s="7" t="n">
        <v>362</v>
      </c>
      <c r="H49" s="13" t="n">
        <f aca="false">G49/23967</f>
        <v>0.0151041014728585</v>
      </c>
      <c r="I49" s="16" t="s">
        <v>508</v>
      </c>
      <c r="J49" s="16" t="s">
        <v>335</v>
      </c>
      <c r="K49" s="16" t="s">
        <v>205</v>
      </c>
      <c r="L49" s="16" t="s">
        <v>196</v>
      </c>
      <c r="M49" s="16" t="s">
        <v>190</v>
      </c>
      <c r="N49" s="16" t="s">
        <v>368</v>
      </c>
      <c r="O49" s="16" t="s">
        <v>509</v>
      </c>
      <c r="P49" s="27" t="n">
        <v>355</v>
      </c>
    </row>
    <row r="50" customFormat="false" ht="25.5" hidden="false" customHeight="true" outlineLevel="0" collapsed="false">
      <c r="A50" s="16" t="n">
        <v>46</v>
      </c>
      <c r="B50" s="16" t="s">
        <v>510</v>
      </c>
      <c r="C50" s="16" t="s">
        <v>83</v>
      </c>
      <c r="D50" s="16" t="s">
        <v>511</v>
      </c>
      <c r="E50" s="16" t="s">
        <v>332</v>
      </c>
      <c r="F50" s="16" t="s">
        <v>333</v>
      </c>
      <c r="G50" s="7" t="n">
        <v>232</v>
      </c>
      <c r="H50" s="13" t="n">
        <f aca="false">G50/23967</f>
        <v>0.00967997663453916</v>
      </c>
      <c r="I50" s="16" t="s">
        <v>512</v>
      </c>
      <c r="J50" s="16" t="s">
        <v>335</v>
      </c>
      <c r="K50" s="16" t="s">
        <v>211</v>
      </c>
      <c r="L50" s="16" t="s">
        <v>192</v>
      </c>
      <c r="M50" s="16" t="s">
        <v>386</v>
      </c>
      <c r="N50" s="16" t="s">
        <v>513</v>
      </c>
      <c r="O50" s="16"/>
      <c r="P50" s="27" t="n">
        <v>194</v>
      </c>
    </row>
    <row r="51" customFormat="false" ht="25.5" hidden="false" customHeight="true" outlineLevel="0" collapsed="false">
      <c r="A51" s="16" t="n">
        <v>47</v>
      </c>
      <c r="B51" s="16" t="s">
        <v>514</v>
      </c>
      <c r="C51" s="16" t="s">
        <v>101</v>
      </c>
      <c r="D51" s="16" t="s">
        <v>515</v>
      </c>
      <c r="E51" s="16" t="s">
        <v>332</v>
      </c>
      <c r="F51" s="16" t="s">
        <v>333</v>
      </c>
      <c r="G51" s="7" t="n">
        <v>194</v>
      </c>
      <c r="H51" s="13" t="n">
        <f aca="false">G51/23967</f>
        <v>0.00809446322026119</v>
      </c>
      <c r="I51" s="16" t="s">
        <v>516</v>
      </c>
      <c r="J51" s="16" t="s">
        <v>335</v>
      </c>
      <c r="K51" s="16" t="s">
        <v>205</v>
      </c>
      <c r="L51" s="16" t="s">
        <v>196</v>
      </c>
      <c r="M51" s="16" t="s">
        <v>190</v>
      </c>
      <c r="N51" s="16" t="s">
        <v>368</v>
      </c>
      <c r="O51" s="16"/>
      <c r="P51" s="27" t="n">
        <v>187</v>
      </c>
    </row>
    <row r="52" customFormat="false" ht="38.25" hidden="false" customHeight="true" outlineLevel="0" collapsed="false">
      <c r="A52" s="16" t="n">
        <v>48</v>
      </c>
      <c r="B52" s="16" t="s">
        <v>517</v>
      </c>
      <c r="C52" s="16" t="s">
        <v>83</v>
      </c>
      <c r="D52" s="16" t="s">
        <v>518</v>
      </c>
      <c r="E52" s="16" t="s">
        <v>332</v>
      </c>
      <c r="F52" s="16" t="s">
        <v>333</v>
      </c>
      <c r="G52" s="7" t="n">
        <v>187</v>
      </c>
      <c r="H52" s="13" t="n">
        <f aca="false">G52/23967</f>
        <v>0.0078023949597363</v>
      </c>
      <c r="I52" s="16" t="s">
        <v>519</v>
      </c>
      <c r="J52" s="16" t="s">
        <v>335</v>
      </c>
      <c r="K52" s="16" t="s">
        <v>211</v>
      </c>
      <c r="L52" s="16" t="s">
        <v>188</v>
      </c>
      <c r="M52" s="16" t="s">
        <v>336</v>
      </c>
      <c r="N52" s="16" t="s">
        <v>479</v>
      </c>
      <c r="O52" s="16"/>
      <c r="P52" s="27" t="n">
        <v>177</v>
      </c>
    </row>
    <row r="53" customFormat="false" ht="25.5" hidden="false" customHeight="true" outlineLevel="0" collapsed="false">
      <c r="A53" s="16" t="n">
        <v>49</v>
      </c>
      <c r="B53" s="16" t="s">
        <v>520</v>
      </c>
      <c r="C53" s="16" t="s">
        <v>83</v>
      </c>
      <c r="D53" s="16" t="s">
        <v>521</v>
      </c>
      <c r="E53" s="16" t="s">
        <v>332</v>
      </c>
      <c r="F53" s="16" t="s">
        <v>333</v>
      </c>
      <c r="G53" s="7" t="n">
        <v>159</v>
      </c>
      <c r="H53" s="13" t="n">
        <f aca="false">G53/23967</f>
        <v>0.00663412191763675</v>
      </c>
      <c r="I53" s="16" t="s">
        <v>522</v>
      </c>
      <c r="J53" s="16" t="s">
        <v>335</v>
      </c>
      <c r="K53" s="16" t="s">
        <v>207</v>
      </c>
      <c r="L53" s="16" t="s">
        <v>182</v>
      </c>
      <c r="M53" s="16" t="s">
        <v>357</v>
      </c>
      <c r="N53" s="16" t="s">
        <v>523</v>
      </c>
      <c r="O53" s="16"/>
      <c r="P53" s="27" t="n">
        <v>157</v>
      </c>
    </row>
    <row r="54" customFormat="false" ht="25.5" hidden="false" customHeight="true" outlineLevel="0" collapsed="false">
      <c r="A54" s="16" t="n">
        <v>50</v>
      </c>
      <c r="B54" s="16" t="s">
        <v>524</v>
      </c>
      <c r="C54" s="16" t="s">
        <v>81</v>
      </c>
      <c r="D54" s="16" t="s">
        <v>525</v>
      </c>
      <c r="E54" s="16" t="s">
        <v>332</v>
      </c>
      <c r="F54" s="16" t="s">
        <v>333</v>
      </c>
      <c r="G54" s="7" t="n">
        <v>87</v>
      </c>
      <c r="H54" s="13" t="n">
        <f aca="false">G54/23967</f>
        <v>0.00362999123795218</v>
      </c>
      <c r="I54" s="16" t="s">
        <v>526</v>
      </c>
      <c r="J54" s="16" t="s">
        <v>335</v>
      </c>
      <c r="K54" s="16" t="s">
        <v>211</v>
      </c>
      <c r="L54" s="16" t="s">
        <v>186</v>
      </c>
      <c r="M54" s="16" t="s">
        <v>336</v>
      </c>
      <c r="N54" s="16" t="s">
        <v>373</v>
      </c>
      <c r="O54" s="16"/>
      <c r="P54" s="27" t="n">
        <v>85</v>
      </c>
    </row>
    <row r="55" customFormat="false" ht="38.25" hidden="false" customHeight="true" outlineLevel="0" collapsed="false">
      <c r="A55" s="16" t="n">
        <v>51</v>
      </c>
      <c r="B55" s="16" t="s">
        <v>527</v>
      </c>
      <c r="C55" s="16" t="s">
        <v>101</v>
      </c>
      <c r="D55" s="16" t="s">
        <v>528</v>
      </c>
      <c r="E55" s="16" t="s">
        <v>333</v>
      </c>
      <c r="F55" s="16" t="s">
        <v>333</v>
      </c>
      <c r="G55" s="7" t="n">
        <v>82</v>
      </c>
      <c r="H55" s="13" t="n">
        <f aca="false">G55/23967</f>
        <v>0.00342137105186298</v>
      </c>
      <c r="I55" s="16" t="s">
        <v>529</v>
      </c>
      <c r="J55" s="16" t="s">
        <v>335</v>
      </c>
      <c r="K55" s="16" t="s">
        <v>207</v>
      </c>
      <c r="L55" s="16" t="s">
        <v>182</v>
      </c>
      <c r="M55" s="16" t="s">
        <v>357</v>
      </c>
      <c r="N55" s="16" t="s">
        <v>530</v>
      </c>
      <c r="O55" s="16"/>
      <c r="P55" s="27" t="n">
        <v>78</v>
      </c>
    </row>
    <row r="56" customFormat="false" ht="51" hidden="false" customHeight="true" outlineLevel="0" collapsed="false">
      <c r="A56" s="16" t="n">
        <v>52</v>
      </c>
      <c r="B56" s="16" t="s">
        <v>531</v>
      </c>
      <c r="C56" s="16" t="s">
        <v>83</v>
      </c>
      <c r="D56" s="16" t="s">
        <v>532</v>
      </c>
      <c r="E56" s="16" t="s">
        <v>333</v>
      </c>
      <c r="F56" s="16" t="s">
        <v>333</v>
      </c>
      <c r="G56" s="7" t="n">
        <v>75</v>
      </c>
      <c r="H56" s="13" t="n">
        <f aca="false">G56/23967</f>
        <v>0.00312930279133809</v>
      </c>
      <c r="I56" s="16" t="s">
        <v>533</v>
      </c>
      <c r="J56" s="16" t="s">
        <v>335</v>
      </c>
      <c r="K56" s="16" t="s">
        <v>205</v>
      </c>
      <c r="L56" s="16" t="s">
        <v>196</v>
      </c>
      <c r="M56" s="16" t="s">
        <v>190</v>
      </c>
      <c r="N56" s="16" t="s">
        <v>368</v>
      </c>
      <c r="O56" s="16" t="s">
        <v>534</v>
      </c>
      <c r="P56" s="27" t="n">
        <v>78</v>
      </c>
    </row>
    <row r="57" customFormat="false" ht="51" hidden="false" customHeight="true" outlineLevel="0" collapsed="false">
      <c r="A57" s="16" t="n">
        <v>53</v>
      </c>
      <c r="B57" s="16" t="s">
        <v>535</v>
      </c>
      <c r="C57" s="16" t="s">
        <v>83</v>
      </c>
      <c r="D57" s="16" t="s">
        <v>536</v>
      </c>
      <c r="E57" s="16" t="s">
        <v>333</v>
      </c>
      <c r="F57" s="16" t="s">
        <v>333</v>
      </c>
      <c r="G57" s="7" t="n">
        <v>67</v>
      </c>
      <c r="H57" s="13" t="n">
        <f aca="false">G57/23967</f>
        <v>0.00279551049359536</v>
      </c>
      <c r="I57" s="16" t="s">
        <v>537</v>
      </c>
      <c r="J57" s="16" t="s">
        <v>335</v>
      </c>
      <c r="K57" s="16" t="s">
        <v>211</v>
      </c>
      <c r="L57" s="16" t="s">
        <v>190</v>
      </c>
      <c r="M57" s="16" t="s">
        <v>336</v>
      </c>
      <c r="N57" s="16" t="s">
        <v>362</v>
      </c>
      <c r="O57" s="16"/>
      <c r="P57" s="27" t="n">
        <v>1</v>
      </c>
    </row>
    <row r="58" customFormat="false" ht="25.5" hidden="false" customHeight="true" outlineLevel="0" collapsed="false">
      <c r="A58" s="16" t="n">
        <v>54</v>
      </c>
      <c r="B58" s="16" t="s">
        <v>538</v>
      </c>
      <c r="C58" s="16" t="s">
        <v>79</v>
      </c>
      <c r="D58" s="16" t="s">
        <v>539</v>
      </c>
      <c r="E58" s="16" t="s">
        <v>333</v>
      </c>
      <c r="F58" s="16" t="s">
        <v>333</v>
      </c>
      <c r="G58" s="7" t="n">
        <v>66</v>
      </c>
      <c r="H58" s="13" t="n">
        <f aca="false">G58/23967</f>
        <v>0.00275378645637752</v>
      </c>
      <c r="I58" s="16" t="s">
        <v>540</v>
      </c>
      <c r="J58" s="16" t="s">
        <v>335</v>
      </c>
      <c r="K58" s="16" t="s">
        <v>205</v>
      </c>
      <c r="L58" s="16" t="s">
        <v>196</v>
      </c>
      <c r="M58" s="16" t="s">
        <v>190</v>
      </c>
      <c r="N58" s="16" t="s">
        <v>368</v>
      </c>
      <c r="O58" s="16" t="s">
        <v>541</v>
      </c>
      <c r="P58" s="27" t="n">
        <v>65</v>
      </c>
    </row>
    <row r="59" customFormat="false" ht="25.5" hidden="false" customHeight="true" outlineLevel="0" collapsed="false">
      <c r="A59" s="16" t="n">
        <v>55</v>
      </c>
      <c r="B59" s="16" t="s">
        <v>542</v>
      </c>
      <c r="C59" s="16" t="s">
        <v>83</v>
      </c>
      <c r="D59" s="16" t="s">
        <v>543</v>
      </c>
      <c r="E59" s="16" t="s">
        <v>332</v>
      </c>
      <c r="F59" s="16" t="s">
        <v>333</v>
      </c>
      <c r="G59" s="7" t="n">
        <v>64</v>
      </c>
      <c r="H59" s="13" t="n">
        <f aca="false">G59/23967</f>
        <v>0.00267033838194184</v>
      </c>
      <c r="I59" s="16" t="s">
        <v>544</v>
      </c>
      <c r="J59" s="16" t="s">
        <v>341</v>
      </c>
      <c r="K59" s="16" t="s">
        <v>213</v>
      </c>
      <c r="L59" s="16" t="s">
        <v>184</v>
      </c>
      <c r="M59" s="16" t="s">
        <v>545</v>
      </c>
      <c r="N59" s="16" t="s">
        <v>546</v>
      </c>
      <c r="O59" s="16"/>
      <c r="P59" s="27" t="n">
        <v>60</v>
      </c>
    </row>
    <row r="60" customFormat="false" ht="38.25" hidden="false" customHeight="true" outlineLevel="0" collapsed="false">
      <c r="A60" s="16" t="n">
        <v>56</v>
      </c>
      <c r="B60" s="16" t="s">
        <v>547</v>
      </c>
      <c r="C60" s="16" t="s">
        <v>81</v>
      </c>
      <c r="D60" s="16" t="s">
        <v>548</v>
      </c>
      <c r="E60" s="16" t="s">
        <v>332</v>
      </c>
      <c r="F60" s="16" t="s">
        <v>333</v>
      </c>
      <c r="G60" s="7" t="n">
        <v>52</v>
      </c>
      <c r="H60" s="13" t="n">
        <f aca="false">G60/23967</f>
        <v>0.00216964993532774</v>
      </c>
      <c r="I60" s="16" t="s">
        <v>549</v>
      </c>
      <c r="J60" s="16" t="s">
        <v>341</v>
      </c>
      <c r="K60" s="16" t="s">
        <v>213</v>
      </c>
      <c r="L60" s="16" t="s">
        <v>184</v>
      </c>
      <c r="M60" s="16" t="s">
        <v>396</v>
      </c>
      <c r="N60" s="16" t="s">
        <v>397</v>
      </c>
      <c r="O60" s="16"/>
      <c r="P60" s="27" t="n">
        <v>52</v>
      </c>
    </row>
    <row r="61" customFormat="false" ht="25.5" hidden="false" customHeight="true" outlineLevel="0" collapsed="false">
      <c r="A61" s="16" t="n">
        <v>57</v>
      </c>
      <c r="B61" s="16" t="s">
        <v>550</v>
      </c>
      <c r="C61" s="16" t="s">
        <v>101</v>
      </c>
      <c r="D61" s="16" t="s">
        <v>551</v>
      </c>
      <c r="E61" s="16" t="s">
        <v>332</v>
      </c>
      <c r="F61" s="16" t="s">
        <v>333</v>
      </c>
      <c r="G61" s="7" t="n">
        <v>52</v>
      </c>
      <c r="H61" s="13" t="n">
        <f aca="false">G61/23967</f>
        <v>0.00216964993532774</v>
      </c>
      <c r="I61" s="16" t="s">
        <v>552</v>
      </c>
      <c r="J61" s="16" t="s">
        <v>335</v>
      </c>
      <c r="K61" s="16" t="s">
        <v>207</v>
      </c>
      <c r="L61" s="16" t="s">
        <v>182</v>
      </c>
      <c r="M61" s="16" t="s">
        <v>357</v>
      </c>
      <c r="N61" s="16" t="s">
        <v>530</v>
      </c>
      <c r="O61" s="16"/>
      <c r="P61" s="27" t="n">
        <v>49</v>
      </c>
    </row>
    <row r="62" customFormat="false" ht="25.5" hidden="false" customHeight="true" outlineLevel="0" collapsed="false">
      <c r="A62" s="16" t="n">
        <v>58</v>
      </c>
      <c r="B62" s="16" t="s">
        <v>553</v>
      </c>
      <c r="C62" s="16" t="s">
        <v>101</v>
      </c>
      <c r="D62" s="16" t="s">
        <v>554</v>
      </c>
      <c r="E62" s="16" t="s">
        <v>332</v>
      </c>
      <c r="F62" s="16" t="s">
        <v>333</v>
      </c>
      <c r="G62" s="7" t="n">
        <v>34</v>
      </c>
      <c r="H62" s="13" t="n">
        <f aca="false">G62/23967</f>
        <v>0.0014186172654066</v>
      </c>
      <c r="I62" s="16" t="s">
        <v>555</v>
      </c>
      <c r="J62" s="16" t="s">
        <v>335</v>
      </c>
      <c r="K62" s="16" t="s">
        <v>207</v>
      </c>
      <c r="L62" s="16" t="s">
        <v>182</v>
      </c>
      <c r="M62" s="16" t="s">
        <v>357</v>
      </c>
      <c r="N62" s="16" t="s">
        <v>358</v>
      </c>
      <c r="O62" s="16"/>
      <c r="P62" s="27" t="n">
        <v>39</v>
      </c>
    </row>
    <row r="63" customFormat="false" ht="38.25" hidden="false" customHeight="true" outlineLevel="0" collapsed="false">
      <c r="A63" s="16" t="n">
        <v>59</v>
      </c>
      <c r="B63" s="16" t="s">
        <v>556</v>
      </c>
      <c r="C63" s="16" t="s">
        <v>101</v>
      </c>
      <c r="D63" s="16" t="s">
        <v>557</v>
      </c>
      <c r="E63" s="16" t="s">
        <v>333</v>
      </c>
      <c r="F63" s="16" t="s">
        <v>333</v>
      </c>
      <c r="G63" s="7" t="n">
        <v>31</v>
      </c>
      <c r="H63" s="13" t="n">
        <f aca="false">G63/23967</f>
        <v>0.00129344515375308</v>
      </c>
      <c r="I63" s="16" t="s">
        <v>558</v>
      </c>
      <c r="J63" s="16" t="s">
        <v>335</v>
      </c>
      <c r="K63" s="16" t="s">
        <v>207</v>
      </c>
      <c r="L63" s="16" t="s">
        <v>182</v>
      </c>
      <c r="M63" s="16" t="s">
        <v>445</v>
      </c>
      <c r="N63" s="16" t="s">
        <v>446</v>
      </c>
      <c r="O63" s="16"/>
      <c r="P63" s="27" t="n">
        <v>53</v>
      </c>
    </row>
    <row r="64" customFormat="false" ht="25.5" hidden="false" customHeight="true" outlineLevel="0" collapsed="false">
      <c r="A64" s="16" t="n">
        <v>60</v>
      </c>
      <c r="B64" s="16" t="s">
        <v>559</v>
      </c>
      <c r="C64" s="16" t="s">
        <v>83</v>
      </c>
      <c r="D64" s="16" t="s">
        <v>560</v>
      </c>
      <c r="E64" s="16" t="s">
        <v>333</v>
      </c>
      <c r="F64" s="16" t="s">
        <v>333</v>
      </c>
      <c r="G64" s="7" t="n">
        <v>29</v>
      </c>
      <c r="H64" s="13" t="n">
        <f aca="false">G64/23967</f>
        <v>0.00120999707931739</v>
      </c>
      <c r="I64" s="16" t="s">
        <v>561</v>
      </c>
      <c r="J64" s="16" t="s">
        <v>335</v>
      </c>
      <c r="K64" s="16" t="s">
        <v>211</v>
      </c>
      <c r="L64" s="16" t="s">
        <v>188</v>
      </c>
      <c r="M64" s="16" t="s">
        <v>336</v>
      </c>
      <c r="N64" s="16" t="s">
        <v>479</v>
      </c>
      <c r="O64" s="16"/>
      <c r="P64" s="27" t="n">
        <v>29</v>
      </c>
    </row>
    <row r="65" customFormat="false" ht="25.5" hidden="false" customHeight="true" outlineLevel="0" collapsed="false">
      <c r="A65" s="16" t="n">
        <v>61</v>
      </c>
      <c r="B65" s="16" t="s">
        <v>562</v>
      </c>
      <c r="C65" s="16" t="s">
        <v>95</v>
      </c>
      <c r="D65" s="16" t="s">
        <v>461</v>
      </c>
      <c r="E65" s="16" t="s">
        <v>333</v>
      </c>
      <c r="F65" s="16" t="s">
        <v>333</v>
      </c>
      <c r="G65" s="7" t="n">
        <v>20</v>
      </c>
      <c r="H65" s="13" t="n">
        <f aca="false">G65/23967</f>
        <v>0.000834480744356824</v>
      </c>
      <c r="I65" s="16" t="s">
        <v>462</v>
      </c>
      <c r="J65" s="16" t="s">
        <v>335</v>
      </c>
      <c r="K65" s="16" t="s">
        <v>205</v>
      </c>
      <c r="L65" s="16" t="s">
        <v>196</v>
      </c>
      <c r="M65" s="16" t="s">
        <v>190</v>
      </c>
      <c r="N65" s="16" t="s">
        <v>368</v>
      </c>
      <c r="O65" s="16" t="s">
        <v>563</v>
      </c>
      <c r="P65" s="27" t="n">
        <v>19</v>
      </c>
    </row>
    <row r="66" customFormat="false" ht="76.5" hidden="false" customHeight="true" outlineLevel="0" collapsed="false">
      <c r="A66" s="16" t="n">
        <v>62</v>
      </c>
      <c r="B66" s="16" t="s">
        <v>564</v>
      </c>
      <c r="C66" s="16" t="s">
        <v>83</v>
      </c>
      <c r="D66" s="16" t="s">
        <v>565</v>
      </c>
      <c r="E66" s="16" t="s">
        <v>332</v>
      </c>
      <c r="F66" s="16" t="s">
        <v>333</v>
      </c>
      <c r="G66" s="7" t="n">
        <v>20</v>
      </c>
      <c r="H66" s="13" t="n">
        <f aca="false">G66/23967</f>
        <v>0.000834480744356824</v>
      </c>
      <c r="I66" s="16" t="s">
        <v>566</v>
      </c>
      <c r="J66" s="16" t="s">
        <v>335</v>
      </c>
      <c r="K66" s="16" t="s">
        <v>211</v>
      </c>
      <c r="L66" s="16" t="s">
        <v>188</v>
      </c>
      <c r="M66" s="16" t="s">
        <v>336</v>
      </c>
      <c r="N66" s="16" t="s">
        <v>479</v>
      </c>
      <c r="O66" s="16"/>
      <c r="P66" s="27" t="n">
        <v>18</v>
      </c>
    </row>
    <row r="67" customFormat="false" ht="25.5" hidden="false" customHeight="true" outlineLevel="0" collapsed="false">
      <c r="A67" s="16" t="n">
        <v>63</v>
      </c>
      <c r="B67" s="16" t="s">
        <v>567</v>
      </c>
      <c r="C67" s="16" t="s">
        <v>91</v>
      </c>
      <c r="D67" s="16" t="s">
        <v>568</v>
      </c>
      <c r="E67" s="16" t="s">
        <v>333</v>
      </c>
      <c r="F67" s="16" t="s">
        <v>333</v>
      </c>
      <c r="G67" s="7" t="n">
        <v>19</v>
      </c>
      <c r="H67" s="13" t="n">
        <f aca="false">G67/23967</f>
        <v>0.000792756707138983</v>
      </c>
      <c r="I67" s="16" t="s">
        <v>569</v>
      </c>
      <c r="J67" s="16" t="s">
        <v>335</v>
      </c>
      <c r="K67" s="16" t="s">
        <v>205</v>
      </c>
      <c r="L67" s="16" t="s">
        <v>196</v>
      </c>
      <c r="M67" s="16" t="s">
        <v>190</v>
      </c>
      <c r="N67" s="16" t="s">
        <v>368</v>
      </c>
      <c r="O67" s="16" t="s">
        <v>369</v>
      </c>
      <c r="P67" s="27" t="n">
        <v>19</v>
      </c>
    </row>
    <row r="68" customFormat="false" ht="25.5" hidden="false" customHeight="true" outlineLevel="0" collapsed="false">
      <c r="A68" s="16" t="n">
        <v>64</v>
      </c>
      <c r="B68" s="16" t="s">
        <v>570</v>
      </c>
      <c r="C68" s="16" t="s">
        <v>79</v>
      </c>
      <c r="D68" s="16" t="s">
        <v>571</v>
      </c>
      <c r="E68" s="16" t="s">
        <v>333</v>
      </c>
      <c r="F68" s="16" t="s">
        <v>333</v>
      </c>
      <c r="G68" s="7" t="n">
        <v>16</v>
      </c>
      <c r="H68" s="13" t="n">
        <f aca="false">G68/23967</f>
        <v>0.000667584595485459</v>
      </c>
      <c r="I68" s="16" t="s">
        <v>572</v>
      </c>
      <c r="J68" s="16" t="s">
        <v>335</v>
      </c>
      <c r="K68" s="16" t="s">
        <v>209</v>
      </c>
      <c r="L68" s="16" t="s">
        <v>198</v>
      </c>
      <c r="M68" s="16" t="s">
        <v>182</v>
      </c>
      <c r="N68" s="16" t="s">
        <v>573</v>
      </c>
      <c r="O68" s="16"/>
      <c r="P68" s="27" t="n">
        <v>16</v>
      </c>
    </row>
    <row r="69" customFormat="false" ht="25.5" hidden="false" customHeight="true" outlineLevel="0" collapsed="false">
      <c r="A69" s="16" t="n">
        <v>65</v>
      </c>
      <c r="B69" s="16" t="s">
        <v>574</v>
      </c>
      <c r="C69" s="16" t="s">
        <v>101</v>
      </c>
      <c r="D69" s="16" t="s">
        <v>575</v>
      </c>
      <c r="E69" s="16" t="s">
        <v>333</v>
      </c>
      <c r="F69" s="16" t="s">
        <v>333</v>
      </c>
      <c r="G69" s="7" t="n">
        <v>15</v>
      </c>
      <c r="H69" s="13" t="n">
        <f aca="false">G69/23967</f>
        <v>0.000625860558267618</v>
      </c>
      <c r="I69" s="16" t="s">
        <v>576</v>
      </c>
      <c r="J69" s="16" t="s">
        <v>335</v>
      </c>
      <c r="K69" s="16" t="s">
        <v>207</v>
      </c>
      <c r="L69" s="16" t="s">
        <v>182</v>
      </c>
      <c r="M69" s="16" t="s">
        <v>357</v>
      </c>
      <c r="N69" s="16" t="s">
        <v>530</v>
      </c>
      <c r="O69" s="16"/>
      <c r="P69" s="27" t="n">
        <v>14</v>
      </c>
    </row>
    <row r="70" customFormat="false" ht="76.5" hidden="false" customHeight="true" outlineLevel="0" collapsed="false">
      <c r="A70" s="16" t="n">
        <v>66</v>
      </c>
      <c r="B70" s="16" t="s">
        <v>577</v>
      </c>
      <c r="C70" s="16" t="s">
        <v>81</v>
      </c>
      <c r="D70" s="16" t="s">
        <v>578</v>
      </c>
      <c r="E70" s="16" t="s">
        <v>333</v>
      </c>
      <c r="F70" s="16" t="s">
        <v>333</v>
      </c>
      <c r="G70" s="7" t="n">
        <v>11</v>
      </c>
      <c r="H70" s="13" t="n">
        <f aca="false">G70/23967</f>
        <v>0.000458964409396253</v>
      </c>
      <c r="I70" s="16" t="s">
        <v>579</v>
      </c>
      <c r="J70" s="16" t="s">
        <v>341</v>
      </c>
      <c r="K70" s="16" t="s">
        <v>213</v>
      </c>
      <c r="L70" s="16" t="s">
        <v>184</v>
      </c>
      <c r="M70" s="16" t="s">
        <v>396</v>
      </c>
      <c r="N70" s="16" t="s">
        <v>397</v>
      </c>
      <c r="O70" s="16"/>
      <c r="P70" s="27" t="n">
        <v>11</v>
      </c>
    </row>
    <row r="71" customFormat="false" ht="25.5" hidden="false" customHeight="true" outlineLevel="0" collapsed="false">
      <c r="A71" s="16" t="n">
        <v>67</v>
      </c>
      <c r="B71" s="16" t="s">
        <v>580</v>
      </c>
      <c r="C71" s="16" t="s">
        <v>101</v>
      </c>
      <c r="D71" s="16" t="s">
        <v>581</v>
      </c>
      <c r="E71" s="16" t="s">
        <v>333</v>
      </c>
      <c r="F71" s="16" t="s">
        <v>333</v>
      </c>
      <c r="G71" s="7" t="n">
        <v>11</v>
      </c>
      <c r="H71" s="13" t="n">
        <f aca="false">G71/23967</f>
        <v>0.000458964409396253</v>
      </c>
      <c r="I71" s="16" t="s">
        <v>582</v>
      </c>
      <c r="J71" s="16" t="s">
        <v>335</v>
      </c>
      <c r="K71" s="16" t="s">
        <v>207</v>
      </c>
      <c r="L71" s="16" t="s">
        <v>182</v>
      </c>
      <c r="M71" s="16" t="s">
        <v>357</v>
      </c>
      <c r="N71" s="16" t="s">
        <v>530</v>
      </c>
      <c r="O71" s="16"/>
      <c r="P71" s="27" t="n">
        <v>3</v>
      </c>
    </row>
    <row r="72" customFormat="false" ht="25.5" hidden="false" customHeight="true" outlineLevel="0" collapsed="false">
      <c r="A72" s="16" t="n">
        <v>68</v>
      </c>
      <c r="B72" s="16" t="s">
        <v>583</v>
      </c>
      <c r="C72" s="16" t="s">
        <v>81</v>
      </c>
      <c r="D72" s="16" t="s">
        <v>584</v>
      </c>
      <c r="E72" s="16" t="s">
        <v>333</v>
      </c>
      <c r="F72" s="16" t="s">
        <v>333</v>
      </c>
      <c r="G72" s="7" t="n">
        <v>10</v>
      </c>
      <c r="H72" s="13" t="n">
        <f aca="false">G72/23967</f>
        <v>0.000417240372178412</v>
      </c>
      <c r="I72" s="16" t="s">
        <v>585</v>
      </c>
      <c r="J72" s="16" t="s">
        <v>335</v>
      </c>
      <c r="K72" s="16" t="s">
        <v>205</v>
      </c>
      <c r="L72" s="16" t="s">
        <v>196</v>
      </c>
      <c r="M72" s="16" t="s">
        <v>190</v>
      </c>
      <c r="N72" s="16" t="s">
        <v>368</v>
      </c>
      <c r="O72" s="16"/>
      <c r="P72" s="27" t="n">
        <v>10</v>
      </c>
    </row>
    <row r="73" customFormat="false" ht="25.5" hidden="false" customHeight="true" outlineLevel="0" collapsed="false">
      <c r="A73" s="16" t="n">
        <v>69</v>
      </c>
      <c r="B73" s="16" t="s">
        <v>586</v>
      </c>
      <c r="C73" s="16" t="s">
        <v>79</v>
      </c>
      <c r="D73" s="16" t="s">
        <v>587</v>
      </c>
      <c r="E73" s="16" t="s">
        <v>333</v>
      </c>
      <c r="F73" s="16" t="s">
        <v>333</v>
      </c>
      <c r="G73" s="7" t="n">
        <v>9</v>
      </c>
      <c r="H73" s="13" t="n">
        <f aca="false">G73/23967</f>
        <v>0.000375516334960571</v>
      </c>
      <c r="I73" s="16" t="s">
        <v>588</v>
      </c>
      <c r="J73" s="16" t="s">
        <v>341</v>
      </c>
      <c r="K73" s="16" t="s">
        <v>213</v>
      </c>
      <c r="L73" s="16" t="s">
        <v>184</v>
      </c>
      <c r="M73" s="16" t="s">
        <v>198</v>
      </c>
      <c r="N73" s="16" t="s">
        <v>589</v>
      </c>
      <c r="O73" s="16"/>
      <c r="P73" s="27" t="n">
        <v>8</v>
      </c>
    </row>
    <row r="74" customFormat="false" ht="25.5" hidden="false" customHeight="true" outlineLevel="0" collapsed="false">
      <c r="A74" s="16" t="n">
        <v>70</v>
      </c>
      <c r="B74" s="16" t="s">
        <v>590</v>
      </c>
      <c r="C74" s="16" t="s">
        <v>79</v>
      </c>
      <c r="D74" s="16" t="s">
        <v>591</v>
      </c>
      <c r="E74" s="16" t="s">
        <v>333</v>
      </c>
      <c r="F74" s="16" t="s">
        <v>333</v>
      </c>
      <c r="G74" s="7" t="n">
        <v>8</v>
      </c>
      <c r="H74" s="13" t="n">
        <f aca="false">G74/23967</f>
        <v>0.00033379229774273</v>
      </c>
      <c r="I74" s="16" t="s">
        <v>592</v>
      </c>
      <c r="J74" s="16" t="s">
        <v>335</v>
      </c>
      <c r="K74" s="16" t="s">
        <v>207</v>
      </c>
      <c r="L74" s="16" t="s">
        <v>182</v>
      </c>
      <c r="M74" s="16" t="s">
        <v>471</v>
      </c>
      <c r="N74" s="16" t="s">
        <v>472</v>
      </c>
      <c r="O74" s="16" t="s">
        <v>593</v>
      </c>
      <c r="P74" s="27" t="n">
        <v>6</v>
      </c>
    </row>
    <row r="75" customFormat="false" ht="25.5" hidden="false" customHeight="true" outlineLevel="0" collapsed="false">
      <c r="A75" s="16" t="n">
        <v>71</v>
      </c>
      <c r="B75" s="16" t="s">
        <v>594</v>
      </c>
      <c r="C75" s="16" t="s">
        <v>83</v>
      </c>
      <c r="D75" s="16" t="s">
        <v>595</v>
      </c>
      <c r="E75" s="16" t="s">
        <v>332</v>
      </c>
      <c r="F75" s="16" t="s">
        <v>333</v>
      </c>
      <c r="G75" s="7" t="n">
        <v>8</v>
      </c>
      <c r="H75" s="13" t="n">
        <f aca="false">G75/23967</f>
        <v>0.00033379229774273</v>
      </c>
      <c r="I75" s="16" t="s">
        <v>596</v>
      </c>
      <c r="J75" s="16" t="s">
        <v>341</v>
      </c>
      <c r="K75" s="16" t="s">
        <v>219</v>
      </c>
      <c r="L75" s="16" t="s">
        <v>184</v>
      </c>
      <c r="M75" s="16" t="s">
        <v>417</v>
      </c>
      <c r="N75" s="16" t="s">
        <v>418</v>
      </c>
      <c r="O75" s="16" t="s">
        <v>419</v>
      </c>
      <c r="P75" s="27" t="n">
        <v>2</v>
      </c>
    </row>
    <row r="76" customFormat="false" ht="25.5" hidden="false" customHeight="true" outlineLevel="0" collapsed="false">
      <c r="A76" s="16" t="n">
        <v>72</v>
      </c>
      <c r="B76" s="16" t="s">
        <v>597</v>
      </c>
      <c r="C76" s="16" t="s">
        <v>79</v>
      </c>
      <c r="D76" s="16" t="s">
        <v>461</v>
      </c>
      <c r="E76" s="16" t="s">
        <v>333</v>
      </c>
      <c r="F76" s="16" t="s">
        <v>333</v>
      </c>
      <c r="G76" s="7" t="n">
        <v>7</v>
      </c>
      <c r="H76" s="13" t="n">
        <f aca="false">G76/23967</f>
        <v>0.000292068260524888</v>
      </c>
      <c r="I76" s="16" t="s">
        <v>462</v>
      </c>
      <c r="J76" s="16" t="s">
        <v>335</v>
      </c>
      <c r="K76" s="16" t="s">
        <v>205</v>
      </c>
      <c r="L76" s="16" t="s">
        <v>196</v>
      </c>
      <c r="M76" s="16" t="s">
        <v>190</v>
      </c>
      <c r="N76" s="16" t="s">
        <v>368</v>
      </c>
      <c r="O76" s="16" t="s">
        <v>598</v>
      </c>
      <c r="P76" s="27" t="n">
        <v>6</v>
      </c>
    </row>
    <row r="77" customFormat="false" ht="25.5" hidden="false" customHeight="true" outlineLevel="0" collapsed="false">
      <c r="A77" s="16" t="n">
        <v>73</v>
      </c>
      <c r="B77" s="16" t="s">
        <v>599</v>
      </c>
      <c r="C77" s="16" t="s">
        <v>79</v>
      </c>
      <c r="D77" s="16" t="s">
        <v>600</v>
      </c>
      <c r="E77" s="16" t="s">
        <v>332</v>
      </c>
      <c r="F77" s="16" t="s">
        <v>333</v>
      </c>
      <c r="G77" s="7" t="n">
        <v>6</v>
      </c>
      <c r="H77" s="13" t="n">
        <f aca="false">G77/23967</f>
        <v>0.000250344223307047</v>
      </c>
      <c r="I77" s="16" t="s">
        <v>601</v>
      </c>
      <c r="J77" s="16" t="s">
        <v>335</v>
      </c>
      <c r="K77" s="16" t="s">
        <v>209</v>
      </c>
      <c r="L77" s="16" t="s">
        <v>198</v>
      </c>
      <c r="M77" s="16" t="s">
        <v>184</v>
      </c>
      <c r="N77" s="16" t="s">
        <v>498</v>
      </c>
      <c r="O77" s="16" t="s">
        <v>602</v>
      </c>
      <c r="P77" s="27" t="n">
        <v>7</v>
      </c>
    </row>
    <row r="78" customFormat="false" ht="25.5" hidden="false" customHeight="true" outlineLevel="0" collapsed="false">
      <c r="A78" s="16" t="n">
        <v>74</v>
      </c>
      <c r="B78" s="16" t="s">
        <v>603</v>
      </c>
      <c r="C78" s="16" t="s">
        <v>101</v>
      </c>
      <c r="D78" s="16" t="s">
        <v>604</v>
      </c>
      <c r="E78" s="16" t="s">
        <v>332</v>
      </c>
      <c r="F78" s="16" t="s">
        <v>333</v>
      </c>
      <c r="G78" s="7" t="n">
        <v>6</v>
      </c>
      <c r="H78" s="13" t="n">
        <f aca="false">G78/23967</f>
        <v>0.000250344223307047</v>
      </c>
      <c r="I78" s="16" t="s">
        <v>605</v>
      </c>
      <c r="J78" s="16" t="s">
        <v>335</v>
      </c>
      <c r="K78" s="16" t="s">
        <v>207</v>
      </c>
      <c r="L78" s="16" t="s">
        <v>182</v>
      </c>
      <c r="M78" s="16" t="s">
        <v>357</v>
      </c>
      <c r="N78" s="16" t="s">
        <v>358</v>
      </c>
      <c r="O78" s="16"/>
      <c r="P78" s="27" t="n">
        <v>6</v>
      </c>
    </row>
    <row r="79" customFormat="false" ht="25.5" hidden="false" customHeight="true" outlineLevel="0" collapsed="false">
      <c r="A79" s="16" t="n">
        <v>75</v>
      </c>
      <c r="B79" s="16" t="s">
        <v>606</v>
      </c>
      <c r="C79" s="16" t="s">
        <v>79</v>
      </c>
      <c r="D79" s="16" t="s">
        <v>607</v>
      </c>
      <c r="E79" s="16" t="s">
        <v>333</v>
      </c>
      <c r="F79" s="16" t="s">
        <v>333</v>
      </c>
      <c r="G79" s="7" t="n">
        <v>6</v>
      </c>
      <c r="H79" s="13" t="n">
        <f aca="false">G79/23967</f>
        <v>0.000250344223307047</v>
      </c>
      <c r="I79" s="16" t="s">
        <v>608</v>
      </c>
      <c r="J79" s="16" t="s">
        <v>341</v>
      </c>
      <c r="K79" s="16" t="s">
        <v>213</v>
      </c>
      <c r="L79" s="16" t="s">
        <v>184</v>
      </c>
      <c r="M79" s="16" t="s">
        <v>198</v>
      </c>
      <c r="N79" s="16" t="s">
        <v>589</v>
      </c>
      <c r="O79" s="16" t="s">
        <v>609</v>
      </c>
      <c r="P79" s="27" t="n">
        <v>5</v>
      </c>
    </row>
    <row r="80" customFormat="false" ht="25.5" hidden="false" customHeight="true" outlineLevel="0" collapsed="false">
      <c r="A80" s="16" t="n">
        <v>76</v>
      </c>
      <c r="B80" s="16" t="s">
        <v>610</v>
      </c>
      <c r="C80" s="16" t="s">
        <v>93</v>
      </c>
      <c r="D80" s="16" t="s">
        <v>611</v>
      </c>
      <c r="E80" s="16" t="s">
        <v>333</v>
      </c>
      <c r="F80" s="16" t="s">
        <v>333</v>
      </c>
      <c r="G80" s="7" t="n">
        <v>6</v>
      </c>
      <c r="H80" s="13" t="n">
        <f aca="false">G80/23967</f>
        <v>0.000250344223307047</v>
      </c>
      <c r="I80" s="16" t="s">
        <v>612</v>
      </c>
      <c r="J80" s="16" t="s">
        <v>335</v>
      </c>
      <c r="K80" s="16" t="s">
        <v>207</v>
      </c>
      <c r="L80" s="16" t="s">
        <v>182</v>
      </c>
      <c r="M80" s="16" t="s">
        <v>471</v>
      </c>
      <c r="N80" s="16" t="s">
        <v>472</v>
      </c>
      <c r="O80" s="16"/>
      <c r="P80" s="27" t="n">
        <v>5</v>
      </c>
    </row>
    <row r="81" customFormat="false" ht="25.5" hidden="false" customHeight="true" outlineLevel="0" collapsed="false">
      <c r="A81" s="16" t="n">
        <v>77</v>
      </c>
      <c r="B81" s="16" t="s">
        <v>613</v>
      </c>
      <c r="C81" s="16" t="s">
        <v>79</v>
      </c>
      <c r="D81" s="16" t="s">
        <v>614</v>
      </c>
      <c r="E81" s="16" t="s">
        <v>333</v>
      </c>
      <c r="F81" s="16" t="s">
        <v>333</v>
      </c>
      <c r="G81" s="7" t="n">
        <v>6</v>
      </c>
      <c r="H81" s="13" t="n">
        <f aca="false">G81/23967</f>
        <v>0.000250344223307047</v>
      </c>
      <c r="I81" s="16" t="s">
        <v>615</v>
      </c>
      <c r="J81" s="16" t="s">
        <v>335</v>
      </c>
      <c r="K81" s="16" t="s">
        <v>205</v>
      </c>
      <c r="L81" s="16" t="s">
        <v>196</v>
      </c>
      <c r="M81" s="16" t="s">
        <v>190</v>
      </c>
      <c r="N81" s="16" t="s">
        <v>368</v>
      </c>
      <c r="O81" s="16" t="s">
        <v>616</v>
      </c>
      <c r="P81" s="27" t="n">
        <v>4</v>
      </c>
    </row>
    <row r="82" customFormat="false" ht="38.25" hidden="false" customHeight="true" outlineLevel="0" collapsed="false">
      <c r="A82" s="16" t="n">
        <v>78</v>
      </c>
      <c r="B82" s="16" t="s">
        <v>617</v>
      </c>
      <c r="C82" s="16" t="s">
        <v>79</v>
      </c>
      <c r="D82" s="16" t="s">
        <v>618</v>
      </c>
      <c r="E82" s="16" t="s">
        <v>332</v>
      </c>
      <c r="F82" s="16" t="s">
        <v>333</v>
      </c>
      <c r="G82" s="7" t="n">
        <v>5</v>
      </c>
      <c r="H82" s="13" t="n">
        <f aca="false">G82/23967</f>
        <v>0.000208620186089206</v>
      </c>
      <c r="I82" s="16" t="s">
        <v>619</v>
      </c>
      <c r="J82" s="16" t="s">
        <v>335</v>
      </c>
      <c r="K82" s="16" t="s">
        <v>205</v>
      </c>
      <c r="L82" s="16" t="s">
        <v>196</v>
      </c>
      <c r="M82" s="16" t="s">
        <v>190</v>
      </c>
      <c r="N82" s="16" t="s">
        <v>368</v>
      </c>
      <c r="O82" s="16"/>
      <c r="P82" s="27" t="n">
        <v>5</v>
      </c>
    </row>
    <row r="83" customFormat="false" ht="76.5" hidden="false" customHeight="true" outlineLevel="0" collapsed="false">
      <c r="A83" s="16" t="n">
        <v>79</v>
      </c>
      <c r="B83" s="16" t="s">
        <v>620</v>
      </c>
      <c r="C83" s="16" t="s">
        <v>79</v>
      </c>
      <c r="D83" s="16" t="s">
        <v>621</v>
      </c>
      <c r="E83" s="16" t="s">
        <v>332</v>
      </c>
      <c r="F83" s="16" t="s">
        <v>333</v>
      </c>
      <c r="G83" s="7" t="n">
        <v>5</v>
      </c>
      <c r="H83" s="13" t="n">
        <f aca="false">G83/23967</f>
        <v>0.000208620186089206</v>
      </c>
      <c r="I83" s="16" t="s">
        <v>622</v>
      </c>
      <c r="J83" s="16" t="s">
        <v>335</v>
      </c>
      <c r="K83" s="16" t="s">
        <v>209</v>
      </c>
      <c r="L83" s="16" t="s">
        <v>198</v>
      </c>
      <c r="M83" s="16" t="s">
        <v>182</v>
      </c>
      <c r="N83" s="16" t="s">
        <v>573</v>
      </c>
      <c r="O83" s="16"/>
      <c r="P83" s="27" t="n">
        <v>5</v>
      </c>
    </row>
    <row r="84" customFormat="false" ht="25.5" hidden="false" customHeight="true" outlineLevel="0" collapsed="false">
      <c r="A84" s="16" t="n">
        <v>80</v>
      </c>
      <c r="B84" s="16" t="s">
        <v>623</v>
      </c>
      <c r="C84" s="16" t="s">
        <v>79</v>
      </c>
      <c r="D84" s="16" t="s">
        <v>624</v>
      </c>
      <c r="E84" s="16" t="s">
        <v>333</v>
      </c>
      <c r="F84" s="16" t="s">
        <v>333</v>
      </c>
      <c r="G84" s="7" t="n">
        <v>4</v>
      </c>
      <c r="H84" s="13" t="n">
        <f aca="false">G84/23967</f>
        <v>0.000166896148871365</v>
      </c>
      <c r="I84" s="16" t="s">
        <v>625</v>
      </c>
      <c r="J84" s="16" t="s">
        <v>335</v>
      </c>
      <c r="K84" s="16" t="s">
        <v>207</v>
      </c>
      <c r="L84" s="16" t="s">
        <v>182</v>
      </c>
      <c r="M84" s="16" t="s">
        <v>471</v>
      </c>
      <c r="N84" s="16" t="s">
        <v>472</v>
      </c>
      <c r="O84" s="16"/>
      <c r="P84" s="27" t="n">
        <v>4</v>
      </c>
    </row>
    <row r="85" customFormat="false" ht="25.5" hidden="false" customHeight="true" outlineLevel="0" collapsed="false">
      <c r="A85" s="16" t="n">
        <v>81</v>
      </c>
      <c r="B85" s="16" t="s">
        <v>626</v>
      </c>
      <c r="C85" s="16" t="s">
        <v>93</v>
      </c>
      <c r="D85" s="16" t="s">
        <v>627</v>
      </c>
      <c r="E85" s="16" t="s">
        <v>333</v>
      </c>
      <c r="F85" s="16" t="s">
        <v>333</v>
      </c>
      <c r="G85" s="7" t="n">
        <v>4</v>
      </c>
      <c r="H85" s="13" t="n">
        <f aca="false">G85/23967</f>
        <v>0.000166896148871365</v>
      </c>
      <c r="I85" s="16" t="s">
        <v>628</v>
      </c>
      <c r="J85" s="16" t="s">
        <v>335</v>
      </c>
      <c r="K85" s="16" t="s">
        <v>207</v>
      </c>
      <c r="L85" s="16" t="s">
        <v>182</v>
      </c>
      <c r="M85" s="16" t="s">
        <v>471</v>
      </c>
      <c r="N85" s="16" t="s">
        <v>472</v>
      </c>
      <c r="O85" s="16"/>
      <c r="P85" s="27" t="n">
        <v>4</v>
      </c>
    </row>
    <row r="86" customFormat="false" ht="25.5" hidden="false" customHeight="true" outlineLevel="0" collapsed="false">
      <c r="A86" s="16" t="n">
        <v>82</v>
      </c>
      <c r="B86" s="16" t="s">
        <v>629</v>
      </c>
      <c r="C86" s="16" t="s">
        <v>93</v>
      </c>
      <c r="D86" s="16" t="s">
        <v>630</v>
      </c>
      <c r="E86" s="16" t="s">
        <v>333</v>
      </c>
      <c r="F86" s="16" t="s">
        <v>333</v>
      </c>
      <c r="G86" s="7" t="n">
        <v>4</v>
      </c>
      <c r="H86" s="13" t="n">
        <f aca="false">G86/23967</f>
        <v>0.000166896148871365</v>
      </c>
      <c r="I86" s="16" t="s">
        <v>631</v>
      </c>
      <c r="J86" s="16" t="s">
        <v>335</v>
      </c>
      <c r="K86" s="16" t="s">
        <v>207</v>
      </c>
      <c r="L86" s="16" t="s">
        <v>182</v>
      </c>
      <c r="M86" s="16" t="s">
        <v>471</v>
      </c>
      <c r="N86" s="16" t="s">
        <v>472</v>
      </c>
      <c r="O86" s="16"/>
      <c r="P86" s="27" t="n">
        <v>4</v>
      </c>
    </row>
    <row r="87" customFormat="false" ht="25.5" hidden="false" customHeight="true" outlineLevel="0" collapsed="false">
      <c r="A87" s="16" t="n">
        <v>83</v>
      </c>
      <c r="B87" s="16" t="s">
        <v>632</v>
      </c>
      <c r="C87" s="16" t="s">
        <v>101</v>
      </c>
      <c r="D87" s="16" t="s">
        <v>632</v>
      </c>
      <c r="E87" s="16" t="s">
        <v>333</v>
      </c>
      <c r="F87" s="16" t="s">
        <v>333</v>
      </c>
      <c r="G87" s="7" t="n">
        <v>4</v>
      </c>
      <c r="H87" s="13" t="n">
        <f aca="false">G87/23967</f>
        <v>0.000166896148871365</v>
      </c>
      <c r="I87" s="16" t="s">
        <v>633</v>
      </c>
      <c r="J87" s="16" t="s">
        <v>335</v>
      </c>
      <c r="K87" s="16" t="s">
        <v>207</v>
      </c>
      <c r="L87" s="16" t="s">
        <v>182</v>
      </c>
      <c r="M87" s="16" t="s">
        <v>357</v>
      </c>
      <c r="N87" s="16" t="s">
        <v>530</v>
      </c>
      <c r="O87" s="16"/>
      <c r="P87" s="27" t="n">
        <v>4</v>
      </c>
    </row>
    <row r="88" customFormat="false" ht="25.5" hidden="false" customHeight="true" outlineLevel="0" collapsed="false">
      <c r="A88" s="16" t="n">
        <v>84</v>
      </c>
      <c r="B88" s="16" t="s">
        <v>634</v>
      </c>
      <c r="C88" s="16" t="s">
        <v>83</v>
      </c>
      <c r="D88" s="16" t="s">
        <v>635</v>
      </c>
      <c r="E88" s="16" t="s">
        <v>333</v>
      </c>
      <c r="F88" s="16" t="s">
        <v>333</v>
      </c>
      <c r="G88" s="7" t="n">
        <v>3</v>
      </c>
      <c r="H88" s="13" t="n">
        <f aca="false">G88/23967</f>
        <v>0.000125172111653524</v>
      </c>
      <c r="I88" s="16" t="s">
        <v>636</v>
      </c>
      <c r="J88" s="16" t="s">
        <v>335</v>
      </c>
      <c r="K88" s="16" t="s">
        <v>211</v>
      </c>
      <c r="L88" s="16" t="s">
        <v>188</v>
      </c>
      <c r="M88" s="16" t="s">
        <v>336</v>
      </c>
      <c r="N88" s="16" t="s">
        <v>479</v>
      </c>
      <c r="O88" s="16"/>
      <c r="P88" s="27" t="n">
        <v>3</v>
      </c>
    </row>
    <row r="89" customFormat="false" ht="25.5" hidden="false" customHeight="true" outlineLevel="0" collapsed="false">
      <c r="A89" s="16" t="n">
        <v>85</v>
      </c>
      <c r="B89" s="16" t="s">
        <v>637</v>
      </c>
      <c r="C89" s="16" t="s">
        <v>101</v>
      </c>
      <c r="D89" s="16" t="s">
        <v>638</v>
      </c>
      <c r="E89" s="16" t="s">
        <v>332</v>
      </c>
      <c r="F89" s="16" t="s">
        <v>333</v>
      </c>
      <c r="G89" s="7" t="n">
        <v>3</v>
      </c>
      <c r="H89" s="13" t="n">
        <f aca="false">G89/23967</f>
        <v>0.000125172111653524</v>
      </c>
      <c r="I89" s="16" t="s">
        <v>639</v>
      </c>
      <c r="J89" s="16" t="s">
        <v>335</v>
      </c>
      <c r="K89" s="16" t="s">
        <v>207</v>
      </c>
      <c r="L89" s="16" t="s">
        <v>182</v>
      </c>
      <c r="M89" s="16" t="s">
        <v>357</v>
      </c>
      <c r="N89" s="16" t="s">
        <v>358</v>
      </c>
      <c r="O89" s="16"/>
      <c r="P89" s="27" t="n">
        <v>3</v>
      </c>
    </row>
    <row r="90" customFormat="false" ht="25.5" hidden="false" customHeight="true" outlineLevel="0" collapsed="false">
      <c r="A90" s="16" t="n">
        <v>86</v>
      </c>
      <c r="B90" s="16" t="s">
        <v>640</v>
      </c>
      <c r="C90" s="16" t="s">
        <v>101</v>
      </c>
      <c r="D90" s="16" t="s">
        <v>641</v>
      </c>
      <c r="E90" s="16" t="s">
        <v>332</v>
      </c>
      <c r="F90" s="16" t="s">
        <v>333</v>
      </c>
      <c r="G90" s="7" t="n">
        <v>3</v>
      </c>
      <c r="H90" s="13" t="n">
        <f aca="false">G90/23967</f>
        <v>0.000125172111653524</v>
      </c>
      <c r="I90" s="16" t="s">
        <v>642</v>
      </c>
      <c r="J90" s="16" t="s">
        <v>335</v>
      </c>
      <c r="K90" s="16" t="s">
        <v>207</v>
      </c>
      <c r="L90" s="16" t="s">
        <v>182</v>
      </c>
      <c r="M90" s="16" t="s">
        <v>357</v>
      </c>
      <c r="N90" s="16" t="s">
        <v>358</v>
      </c>
      <c r="O90" s="16"/>
      <c r="P90" s="27" t="n">
        <v>2</v>
      </c>
    </row>
    <row r="91" customFormat="false" ht="25.5" hidden="false" customHeight="true" outlineLevel="0" collapsed="false">
      <c r="A91" s="16" t="n">
        <v>87</v>
      </c>
      <c r="B91" s="16" t="s">
        <v>643</v>
      </c>
      <c r="C91" s="16" t="s">
        <v>95</v>
      </c>
      <c r="D91" s="16" t="s">
        <v>644</v>
      </c>
      <c r="E91" s="16" t="s">
        <v>333</v>
      </c>
      <c r="F91" s="16" t="s">
        <v>333</v>
      </c>
      <c r="G91" s="7" t="n">
        <v>2</v>
      </c>
      <c r="H91" s="13" t="n">
        <f aca="false">G91/23967</f>
        <v>8.34480744356824E-005</v>
      </c>
      <c r="I91" s="16" t="s">
        <v>645</v>
      </c>
      <c r="J91" s="16" t="s">
        <v>335</v>
      </c>
      <c r="K91" s="16" t="s">
        <v>205</v>
      </c>
      <c r="L91" s="16" t="s">
        <v>196</v>
      </c>
      <c r="M91" s="16" t="s">
        <v>190</v>
      </c>
      <c r="N91" s="16" t="s">
        <v>368</v>
      </c>
      <c r="O91" s="16"/>
      <c r="P91" s="27" t="n">
        <v>2</v>
      </c>
    </row>
    <row r="92" customFormat="false" ht="25.5" hidden="false" customHeight="true" outlineLevel="0" collapsed="false">
      <c r="A92" s="16" t="n">
        <v>88</v>
      </c>
      <c r="B92" s="16" t="s">
        <v>646</v>
      </c>
      <c r="C92" s="16" t="s">
        <v>95</v>
      </c>
      <c r="D92" s="16" t="s">
        <v>647</v>
      </c>
      <c r="E92" s="16" t="s">
        <v>333</v>
      </c>
      <c r="F92" s="16" t="s">
        <v>333</v>
      </c>
      <c r="G92" s="7" t="n">
        <v>2</v>
      </c>
      <c r="H92" s="13" t="n">
        <f aca="false">G92/23967</f>
        <v>8.34480744356824E-005</v>
      </c>
      <c r="I92" s="16" t="s">
        <v>648</v>
      </c>
      <c r="J92" s="16" t="s">
        <v>335</v>
      </c>
      <c r="K92" s="16" t="s">
        <v>205</v>
      </c>
      <c r="L92" s="16" t="s">
        <v>196</v>
      </c>
      <c r="M92" s="16" t="s">
        <v>190</v>
      </c>
      <c r="N92" s="16" t="s">
        <v>368</v>
      </c>
      <c r="O92" s="16"/>
      <c r="P92" s="27" t="n">
        <v>2</v>
      </c>
    </row>
    <row r="93" customFormat="false" ht="38.25" hidden="false" customHeight="true" outlineLevel="0" collapsed="false">
      <c r="A93" s="16" t="n">
        <v>89</v>
      </c>
      <c r="B93" s="16" t="s">
        <v>649</v>
      </c>
      <c r="C93" s="16" t="s">
        <v>95</v>
      </c>
      <c r="D93" s="16" t="s">
        <v>650</v>
      </c>
      <c r="E93" s="16" t="s">
        <v>333</v>
      </c>
      <c r="F93" s="16" t="s">
        <v>333</v>
      </c>
      <c r="G93" s="7" t="n">
        <v>2</v>
      </c>
      <c r="H93" s="13" t="n">
        <f aca="false">G93/23967</f>
        <v>8.34480744356824E-005</v>
      </c>
      <c r="I93" s="16" t="s">
        <v>651</v>
      </c>
      <c r="J93" s="16" t="s">
        <v>335</v>
      </c>
      <c r="K93" s="16" t="s">
        <v>205</v>
      </c>
      <c r="L93" s="16" t="s">
        <v>196</v>
      </c>
      <c r="M93" s="16" t="s">
        <v>190</v>
      </c>
      <c r="N93" s="16" t="s">
        <v>368</v>
      </c>
      <c r="O93" s="16"/>
      <c r="P93" s="27" t="n">
        <v>2</v>
      </c>
    </row>
    <row r="94" customFormat="false" ht="25.5" hidden="false" customHeight="true" outlineLevel="0" collapsed="false">
      <c r="A94" s="16" t="n">
        <v>90</v>
      </c>
      <c r="B94" s="16" t="s">
        <v>652</v>
      </c>
      <c r="C94" s="16" t="s">
        <v>95</v>
      </c>
      <c r="D94" s="16" t="s">
        <v>653</v>
      </c>
      <c r="E94" s="16" t="s">
        <v>333</v>
      </c>
      <c r="F94" s="16" t="s">
        <v>333</v>
      </c>
      <c r="G94" s="7" t="n">
        <v>2</v>
      </c>
      <c r="H94" s="13" t="n">
        <f aca="false">G94/23967</f>
        <v>8.34480744356824E-005</v>
      </c>
      <c r="I94" s="16" t="s">
        <v>654</v>
      </c>
      <c r="J94" s="16" t="s">
        <v>335</v>
      </c>
      <c r="K94" s="16" t="s">
        <v>205</v>
      </c>
      <c r="L94" s="16" t="s">
        <v>196</v>
      </c>
      <c r="M94" s="16" t="s">
        <v>190</v>
      </c>
      <c r="N94" s="16" t="s">
        <v>368</v>
      </c>
      <c r="O94" s="16"/>
      <c r="P94" s="27" t="n">
        <v>2</v>
      </c>
    </row>
    <row r="95" customFormat="false" ht="76.5" hidden="false" customHeight="true" outlineLevel="0" collapsed="false">
      <c r="A95" s="16" t="n">
        <v>91</v>
      </c>
      <c r="B95" s="16" t="s">
        <v>655</v>
      </c>
      <c r="C95" s="16" t="s">
        <v>79</v>
      </c>
      <c r="D95" s="16" t="s">
        <v>656</v>
      </c>
      <c r="E95" s="16" t="s">
        <v>333</v>
      </c>
      <c r="F95" s="16" t="s">
        <v>333</v>
      </c>
      <c r="G95" s="7" t="n">
        <v>2</v>
      </c>
      <c r="H95" s="13" t="n">
        <f aca="false">G95/23967</f>
        <v>8.34480744356824E-005</v>
      </c>
      <c r="I95" s="16" t="s">
        <v>657</v>
      </c>
      <c r="J95" s="16" t="s">
        <v>335</v>
      </c>
      <c r="K95" s="16" t="s">
        <v>207</v>
      </c>
      <c r="L95" s="16" t="s">
        <v>182</v>
      </c>
      <c r="M95" s="16" t="s">
        <v>471</v>
      </c>
      <c r="N95" s="16" t="s">
        <v>472</v>
      </c>
      <c r="O95" s="16"/>
      <c r="P95" s="27" t="n">
        <v>2</v>
      </c>
    </row>
    <row r="96" customFormat="false" ht="25.5" hidden="false" customHeight="true" outlineLevel="0" collapsed="false">
      <c r="A96" s="16" t="n">
        <v>92</v>
      </c>
      <c r="B96" s="16" t="s">
        <v>658</v>
      </c>
      <c r="C96" s="16" t="s">
        <v>79</v>
      </c>
      <c r="D96" s="16" t="s">
        <v>659</v>
      </c>
      <c r="E96" s="16" t="s">
        <v>333</v>
      </c>
      <c r="F96" s="16" t="s">
        <v>333</v>
      </c>
      <c r="G96" s="7" t="n">
        <v>2</v>
      </c>
      <c r="H96" s="13" t="n">
        <f aca="false">G96/23967</f>
        <v>8.34480744356824E-005</v>
      </c>
      <c r="I96" s="16" t="s">
        <v>660</v>
      </c>
      <c r="J96" s="16" t="s">
        <v>335</v>
      </c>
      <c r="K96" s="16" t="s">
        <v>207</v>
      </c>
      <c r="L96" s="16" t="s">
        <v>182</v>
      </c>
      <c r="M96" s="16" t="s">
        <v>471</v>
      </c>
      <c r="N96" s="16" t="s">
        <v>472</v>
      </c>
      <c r="O96" s="16"/>
      <c r="P96" s="27" t="n">
        <v>2</v>
      </c>
    </row>
    <row r="97" customFormat="false" ht="38.25" hidden="false" customHeight="true" outlineLevel="0" collapsed="false">
      <c r="A97" s="16" t="n">
        <v>93</v>
      </c>
      <c r="B97" s="16" t="s">
        <v>661</v>
      </c>
      <c r="C97" s="16" t="s">
        <v>79</v>
      </c>
      <c r="D97" s="16" t="s">
        <v>662</v>
      </c>
      <c r="E97" s="16" t="s">
        <v>333</v>
      </c>
      <c r="F97" s="16" t="s">
        <v>333</v>
      </c>
      <c r="G97" s="7" t="n">
        <v>2</v>
      </c>
      <c r="H97" s="13" t="n">
        <f aca="false">G97/23967</f>
        <v>8.34480744356824E-005</v>
      </c>
      <c r="I97" s="16" t="s">
        <v>663</v>
      </c>
      <c r="J97" s="16" t="s">
        <v>335</v>
      </c>
      <c r="K97" s="16" t="s">
        <v>207</v>
      </c>
      <c r="L97" s="16" t="s">
        <v>182</v>
      </c>
      <c r="M97" s="16" t="s">
        <v>471</v>
      </c>
      <c r="N97" s="16" t="s">
        <v>472</v>
      </c>
      <c r="O97" s="16"/>
      <c r="P97" s="27" t="n">
        <v>2</v>
      </c>
    </row>
    <row r="98" customFormat="false" ht="25.5" hidden="false" customHeight="true" outlineLevel="0" collapsed="false">
      <c r="A98" s="16" t="n">
        <v>94</v>
      </c>
      <c r="B98" s="16" t="s">
        <v>664</v>
      </c>
      <c r="C98" s="16" t="s">
        <v>79</v>
      </c>
      <c r="D98" s="16" t="s">
        <v>665</v>
      </c>
      <c r="E98" s="16" t="s">
        <v>333</v>
      </c>
      <c r="F98" s="16" t="s">
        <v>333</v>
      </c>
      <c r="G98" s="7" t="n">
        <v>2</v>
      </c>
      <c r="H98" s="13" t="n">
        <f aca="false">G98/23967</f>
        <v>8.34480744356824E-005</v>
      </c>
      <c r="I98" s="16" t="s">
        <v>666</v>
      </c>
      <c r="J98" s="16" t="s">
        <v>335</v>
      </c>
      <c r="K98" s="16" t="s">
        <v>205</v>
      </c>
      <c r="L98" s="16" t="s">
        <v>196</v>
      </c>
      <c r="M98" s="16" t="s">
        <v>190</v>
      </c>
      <c r="N98" s="16" t="s">
        <v>368</v>
      </c>
      <c r="O98" s="16" t="s">
        <v>541</v>
      </c>
      <c r="P98" s="27" t="n">
        <v>2</v>
      </c>
    </row>
    <row r="99" customFormat="false" ht="25.5" hidden="false" customHeight="true" outlineLevel="0" collapsed="false">
      <c r="A99" s="16" t="n">
        <v>95</v>
      </c>
      <c r="B99" s="16" t="s">
        <v>667</v>
      </c>
      <c r="C99" s="16" t="s">
        <v>83</v>
      </c>
      <c r="D99" s="16" t="s">
        <v>668</v>
      </c>
      <c r="E99" s="16" t="s">
        <v>333</v>
      </c>
      <c r="F99" s="16" t="s">
        <v>333</v>
      </c>
      <c r="G99" s="7" t="n">
        <v>2</v>
      </c>
      <c r="H99" s="13" t="n">
        <f aca="false">G99/23967</f>
        <v>8.34480744356824E-005</v>
      </c>
      <c r="I99" s="16" t="s">
        <v>669</v>
      </c>
      <c r="J99" s="16" t="s">
        <v>335</v>
      </c>
      <c r="K99" s="16" t="s">
        <v>205</v>
      </c>
      <c r="L99" s="16" t="s">
        <v>196</v>
      </c>
      <c r="M99" s="16" t="s">
        <v>386</v>
      </c>
      <c r="N99" s="16" t="s">
        <v>387</v>
      </c>
      <c r="O99" s="16" t="s">
        <v>670</v>
      </c>
      <c r="P99" s="27" t="n">
        <v>2</v>
      </c>
    </row>
    <row r="100" customFormat="false" ht="25.5" hidden="false" customHeight="true" outlineLevel="0" collapsed="false">
      <c r="A100" s="16" t="n">
        <v>96</v>
      </c>
      <c r="B100" s="16" t="s">
        <v>671</v>
      </c>
      <c r="C100" s="16" t="s">
        <v>83</v>
      </c>
      <c r="D100" s="16" t="s">
        <v>672</v>
      </c>
      <c r="E100" s="16" t="s">
        <v>333</v>
      </c>
      <c r="F100" s="16" t="s">
        <v>333</v>
      </c>
      <c r="G100" s="7" t="n">
        <v>2</v>
      </c>
      <c r="H100" s="13" t="n">
        <f aca="false">G100/23967</f>
        <v>8.34480744356824E-005</v>
      </c>
      <c r="I100" s="16" t="s">
        <v>673</v>
      </c>
      <c r="J100" s="16" t="s">
        <v>335</v>
      </c>
      <c r="K100" s="16" t="s">
        <v>207</v>
      </c>
      <c r="L100" s="16" t="s">
        <v>182</v>
      </c>
      <c r="M100" s="16" t="s">
        <v>357</v>
      </c>
      <c r="N100" s="16" t="s">
        <v>358</v>
      </c>
      <c r="O100" s="16"/>
      <c r="P100" s="27" t="n">
        <v>2</v>
      </c>
    </row>
    <row r="101" customFormat="false" ht="38.25" hidden="false" customHeight="true" outlineLevel="0" collapsed="false">
      <c r="A101" s="16" t="n">
        <v>97</v>
      </c>
      <c r="B101" s="16" t="s">
        <v>674</v>
      </c>
      <c r="C101" s="16" t="s">
        <v>97</v>
      </c>
      <c r="D101" s="16" t="s">
        <v>614</v>
      </c>
      <c r="E101" s="16" t="s">
        <v>333</v>
      </c>
      <c r="F101" s="16" t="s">
        <v>333</v>
      </c>
      <c r="G101" s="7" t="n">
        <v>2</v>
      </c>
      <c r="H101" s="13" t="n">
        <f aca="false">G101/23967</f>
        <v>8.34480744356824E-005</v>
      </c>
      <c r="I101" s="16" t="s">
        <v>675</v>
      </c>
      <c r="J101" s="16" t="s">
        <v>335</v>
      </c>
      <c r="K101" s="16" t="s">
        <v>205</v>
      </c>
      <c r="L101" s="16" t="s">
        <v>196</v>
      </c>
      <c r="M101" s="16" t="s">
        <v>190</v>
      </c>
      <c r="N101" s="16" t="s">
        <v>368</v>
      </c>
      <c r="O101" s="16" t="s">
        <v>676</v>
      </c>
      <c r="P101" s="27" t="n">
        <v>1</v>
      </c>
    </row>
    <row r="102" customFormat="false" ht="38.25" hidden="false" customHeight="true" outlineLevel="0" collapsed="false">
      <c r="A102" s="16" t="n">
        <v>98</v>
      </c>
      <c r="B102" s="16" t="s">
        <v>677</v>
      </c>
      <c r="C102" s="16" t="s">
        <v>79</v>
      </c>
      <c r="D102" s="16" t="s">
        <v>678</v>
      </c>
      <c r="E102" s="16" t="s">
        <v>333</v>
      </c>
      <c r="F102" s="16" t="s">
        <v>333</v>
      </c>
      <c r="G102" s="7" t="n">
        <v>2</v>
      </c>
      <c r="H102" s="13" t="n">
        <f aca="false">G102/23967</f>
        <v>8.34480744356824E-005</v>
      </c>
      <c r="I102" s="16" t="s">
        <v>679</v>
      </c>
      <c r="J102" s="16" t="s">
        <v>335</v>
      </c>
      <c r="K102" s="16" t="s">
        <v>207</v>
      </c>
      <c r="L102" s="16" t="s">
        <v>182</v>
      </c>
      <c r="M102" s="16" t="s">
        <v>471</v>
      </c>
      <c r="N102" s="16" t="s">
        <v>472</v>
      </c>
      <c r="O102" s="16"/>
      <c r="P102" s="27" t="n">
        <v>1</v>
      </c>
    </row>
    <row r="103" customFormat="false" ht="25.5" hidden="false" customHeight="true" outlineLevel="0" collapsed="false">
      <c r="A103" s="16" t="n">
        <v>99</v>
      </c>
      <c r="B103" s="16" t="s">
        <v>680</v>
      </c>
      <c r="C103" s="16" t="s">
        <v>79</v>
      </c>
      <c r="D103" s="16" t="s">
        <v>681</v>
      </c>
      <c r="E103" s="16" t="s">
        <v>333</v>
      </c>
      <c r="F103" s="16" t="s">
        <v>333</v>
      </c>
      <c r="G103" s="7" t="n">
        <v>1</v>
      </c>
      <c r="H103" s="13" t="n">
        <f aca="false">G103/23967</f>
        <v>4.17240372178412E-005</v>
      </c>
      <c r="I103" s="16" t="s">
        <v>682</v>
      </c>
      <c r="J103" s="16" t="s">
        <v>335</v>
      </c>
      <c r="K103" s="16" t="s">
        <v>209</v>
      </c>
      <c r="L103" s="16" t="s">
        <v>198</v>
      </c>
      <c r="M103" s="16" t="s">
        <v>184</v>
      </c>
      <c r="N103" s="16" t="s">
        <v>498</v>
      </c>
      <c r="O103" s="16"/>
      <c r="P103" s="27" t="n">
        <v>20</v>
      </c>
    </row>
    <row r="104" customFormat="false" ht="25.5" hidden="false" customHeight="true" outlineLevel="0" collapsed="false">
      <c r="A104" s="16" t="n">
        <v>100</v>
      </c>
      <c r="B104" s="16" t="s">
        <v>683</v>
      </c>
      <c r="C104" s="16" t="s">
        <v>95</v>
      </c>
      <c r="D104" s="16" t="s">
        <v>684</v>
      </c>
      <c r="E104" s="16" t="s">
        <v>333</v>
      </c>
      <c r="F104" s="16" t="s">
        <v>333</v>
      </c>
      <c r="G104" s="7" t="n">
        <v>1</v>
      </c>
      <c r="H104" s="13" t="n">
        <f aca="false">G104/23967</f>
        <v>4.17240372178412E-005</v>
      </c>
      <c r="I104" s="16" t="s">
        <v>685</v>
      </c>
      <c r="J104" s="16" t="s">
        <v>335</v>
      </c>
      <c r="K104" s="16" t="s">
        <v>207</v>
      </c>
      <c r="L104" s="16" t="s">
        <v>182</v>
      </c>
      <c r="M104" s="16" t="s">
        <v>471</v>
      </c>
      <c r="N104" s="16" t="s">
        <v>472</v>
      </c>
      <c r="O104" s="16"/>
      <c r="P104" s="27" t="n">
        <v>1</v>
      </c>
    </row>
    <row r="105" customFormat="false" ht="25.5" hidden="false" customHeight="true" outlineLevel="0" collapsed="false">
      <c r="A105" s="16" t="n">
        <v>101</v>
      </c>
      <c r="B105" s="16" t="s">
        <v>686</v>
      </c>
      <c r="C105" s="16" t="s">
        <v>95</v>
      </c>
      <c r="D105" s="16" t="s">
        <v>687</v>
      </c>
      <c r="E105" s="16" t="s">
        <v>333</v>
      </c>
      <c r="F105" s="16" t="s">
        <v>333</v>
      </c>
      <c r="G105" s="7" t="n">
        <v>1</v>
      </c>
      <c r="H105" s="13" t="n">
        <f aca="false">G105/23967</f>
        <v>4.17240372178412E-005</v>
      </c>
      <c r="I105" s="16" t="s">
        <v>688</v>
      </c>
      <c r="J105" s="16" t="s">
        <v>335</v>
      </c>
      <c r="K105" s="16" t="s">
        <v>205</v>
      </c>
      <c r="L105" s="16" t="s">
        <v>196</v>
      </c>
      <c r="M105" s="16" t="s">
        <v>190</v>
      </c>
      <c r="N105" s="16" t="s">
        <v>368</v>
      </c>
      <c r="O105" s="16"/>
      <c r="P105" s="27" t="n">
        <v>1</v>
      </c>
    </row>
    <row r="106" customFormat="false" ht="25.5" hidden="false" customHeight="true" outlineLevel="0" collapsed="false">
      <c r="A106" s="16" t="n">
        <v>102</v>
      </c>
      <c r="B106" s="16" t="s">
        <v>689</v>
      </c>
      <c r="C106" s="16" t="s">
        <v>95</v>
      </c>
      <c r="D106" s="16" t="s">
        <v>690</v>
      </c>
      <c r="E106" s="16" t="s">
        <v>333</v>
      </c>
      <c r="F106" s="16" t="s">
        <v>333</v>
      </c>
      <c r="G106" s="7" t="n">
        <v>1</v>
      </c>
      <c r="H106" s="13" t="n">
        <f aca="false">G106/23967</f>
        <v>4.17240372178412E-005</v>
      </c>
      <c r="I106" s="16" t="s">
        <v>691</v>
      </c>
      <c r="J106" s="16" t="s">
        <v>335</v>
      </c>
      <c r="K106" s="16" t="s">
        <v>205</v>
      </c>
      <c r="L106" s="16" t="s">
        <v>196</v>
      </c>
      <c r="M106" s="16" t="s">
        <v>190</v>
      </c>
      <c r="N106" s="16" t="s">
        <v>368</v>
      </c>
      <c r="O106" s="16"/>
      <c r="P106" s="27" t="n">
        <v>1</v>
      </c>
    </row>
    <row r="107" customFormat="false" ht="38.25" hidden="false" customHeight="true" outlineLevel="0" collapsed="false">
      <c r="A107" s="16" t="n">
        <v>103</v>
      </c>
      <c r="B107" s="16" t="s">
        <v>692</v>
      </c>
      <c r="C107" s="16" t="s">
        <v>97</v>
      </c>
      <c r="D107" s="16" t="s">
        <v>693</v>
      </c>
      <c r="E107" s="16" t="s">
        <v>333</v>
      </c>
      <c r="F107" s="16" t="s">
        <v>333</v>
      </c>
      <c r="G107" s="7" t="n">
        <v>1</v>
      </c>
      <c r="H107" s="13" t="n">
        <f aca="false">G107/23967</f>
        <v>4.17240372178412E-005</v>
      </c>
      <c r="I107" s="16" t="s">
        <v>694</v>
      </c>
      <c r="J107" s="16" t="s">
        <v>335</v>
      </c>
      <c r="K107" s="16" t="s">
        <v>209</v>
      </c>
      <c r="L107" s="16" t="s">
        <v>198</v>
      </c>
      <c r="M107" s="16" t="s">
        <v>182</v>
      </c>
      <c r="N107" s="16" t="s">
        <v>573</v>
      </c>
      <c r="O107" s="16"/>
      <c r="P107" s="27" t="n">
        <v>1</v>
      </c>
    </row>
    <row r="108" customFormat="false" ht="38.25" hidden="false" customHeight="true" outlineLevel="0" collapsed="false">
      <c r="A108" s="16" t="n">
        <v>104</v>
      </c>
      <c r="B108" s="16" t="s">
        <v>695</v>
      </c>
      <c r="C108" s="16" t="s">
        <v>79</v>
      </c>
      <c r="D108" s="16" t="s">
        <v>696</v>
      </c>
      <c r="E108" s="16" t="s">
        <v>332</v>
      </c>
      <c r="F108" s="16" t="s">
        <v>333</v>
      </c>
      <c r="G108" s="7" t="n">
        <v>1</v>
      </c>
      <c r="H108" s="13" t="n">
        <f aca="false">G108/23967</f>
        <v>4.17240372178412E-005</v>
      </c>
      <c r="I108" s="16" t="s">
        <v>697</v>
      </c>
      <c r="J108" s="16" t="s">
        <v>335</v>
      </c>
      <c r="K108" s="16" t="s">
        <v>207</v>
      </c>
      <c r="L108" s="16" t="s">
        <v>182</v>
      </c>
      <c r="M108" s="16" t="s">
        <v>471</v>
      </c>
      <c r="N108" s="16" t="s">
        <v>472</v>
      </c>
      <c r="O108" s="16" t="s">
        <v>593</v>
      </c>
      <c r="P108" s="27" t="n">
        <v>1</v>
      </c>
    </row>
    <row r="109" customFormat="false" ht="25.5" hidden="false" customHeight="true" outlineLevel="0" collapsed="false">
      <c r="A109" s="16" t="n">
        <v>105</v>
      </c>
      <c r="B109" s="16" t="s">
        <v>698</v>
      </c>
      <c r="C109" s="16" t="s">
        <v>79</v>
      </c>
      <c r="D109" s="16" t="s">
        <v>699</v>
      </c>
      <c r="E109" s="16" t="s">
        <v>333</v>
      </c>
      <c r="F109" s="16" t="s">
        <v>333</v>
      </c>
      <c r="G109" s="7" t="n">
        <v>1</v>
      </c>
      <c r="H109" s="13" t="n">
        <f aca="false">G109/23967</f>
        <v>4.17240372178412E-005</v>
      </c>
      <c r="I109" s="16" t="s">
        <v>700</v>
      </c>
      <c r="J109" s="16" t="s">
        <v>335</v>
      </c>
      <c r="K109" s="16" t="s">
        <v>205</v>
      </c>
      <c r="L109" s="16" t="s">
        <v>196</v>
      </c>
      <c r="M109" s="16" t="s">
        <v>190</v>
      </c>
      <c r="N109" s="16" t="s">
        <v>368</v>
      </c>
      <c r="O109" s="16" t="s">
        <v>701</v>
      </c>
      <c r="P109" s="27" t="n">
        <v>1</v>
      </c>
    </row>
    <row r="110" customFormat="false" ht="38.25" hidden="false" customHeight="true" outlineLevel="0" collapsed="false">
      <c r="A110" s="16" t="n">
        <v>106</v>
      </c>
      <c r="B110" s="16" t="s">
        <v>702</v>
      </c>
      <c r="C110" s="16" t="s">
        <v>79</v>
      </c>
      <c r="D110" s="16" t="s">
        <v>703</v>
      </c>
      <c r="E110" s="16" t="s">
        <v>332</v>
      </c>
      <c r="F110" s="16" t="s">
        <v>333</v>
      </c>
      <c r="G110" s="7" t="n">
        <v>1</v>
      </c>
      <c r="H110" s="13" t="n">
        <f aca="false">G110/23967</f>
        <v>4.17240372178412E-005</v>
      </c>
      <c r="I110" s="16" t="s">
        <v>704</v>
      </c>
      <c r="J110" s="16" t="s">
        <v>335</v>
      </c>
      <c r="K110" s="16" t="s">
        <v>209</v>
      </c>
      <c r="L110" s="16" t="s">
        <v>198</v>
      </c>
      <c r="M110" s="16" t="s">
        <v>182</v>
      </c>
      <c r="N110" s="16" t="s">
        <v>573</v>
      </c>
      <c r="O110" s="16"/>
      <c r="P110" s="27" t="n">
        <v>1</v>
      </c>
    </row>
    <row r="111" customFormat="false" ht="25.5" hidden="false" customHeight="true" outlineLevel="0" collapsed="false">
      <c r="A111" s="16" t="n">
        <v>107</v>
      </c>
      <c r="B111" s="16" t="s">
        <v>705</v>
      </c>
      <c r="C111" s="16" t="s">
        <v>79</v>
      </c>
      <c r="D111" s="16" t="s">
        <v>706</v>
      </c>
      <c r="E111" s="16" t="s">
        <v>333</v>
      </c>
      <c r="F111" s="16" t="s">
        <v>333</v>
      </c>
      <c r="G111" s="7" t="n">
        <v>1</v>
      </c>
      <c r="H111" s="13" t="n">
        <f aca="false">G111/23967</f>
        <v>4.17240372178412E-005</v>
      </c>
      <c r="I111" s="16" t="s">
        <v>707</v>
      </c>
      <c r="J111" s="16" t="s">
        <v>335</v>
      </c>
      <c r="K111" s="16" t="s">
        <v>207</v>
      </c>
      <c r="L111" s="16" t="s">
        <v>182</v>
      </c>
      <c r="M111" s="16" t="s">
        <v>471</v>
      </c>
      <c r="N111" s="16" t="s">
        <v>472</v>
      </c>
      <c r="O111" s="16"/>
      <c r="P111" s="27" t="n">
        <v>1</v>
      </c>
    </row>
    <row r="112" customFormat="false" ht="76.5" hidden="false" customHeight="true" outlineLevel="0" collapsed="false">
      <c r="A112" s="16" t="n">
        <v>108</v>
      </c>
      <c r="B112" s="16" t="s">
        <v>708</v>
      </c>
      <c r="C112" s="16" t="s">
        <v>79</v>
      </c>
      <c r="D112" s="16" t="s">
        <v>709</v>
      </c>
      <c r="E112" s="16" t="s">
        <v>333</v>
      </c>
      <c r="F112" s="16" t="s">
        <v>333</v>
      </c>
      <c r="G112" s="7" t="n">
        <v>1</v>
      </c>
      <c r="H112" s="13" t="n">
        <f aca="false">G112/23967</f>
        <v>4.17240372178412E-005</v>
      </c>
      <c r="I112" s="16" t="s">
        <v>710</v>
      </c>
      <c r="J112" s="16" t="s">
        <v>335</v>
      </c>
      <c r="K112" s="16" t="s">
        <v>207</v>
      </c>
      <c r="L112" s="16" t="s">
        <v>182</v>
      </c>
      <c r="M112" s="16" t="s">
        <v>471</v>
      </c>
      <c r="N112" s="16" t="s">
        <v>472</v>
      </c>
      <c r="O112" s="16"/>
      <c r="P112" s="27" t="n">
        <v>1</v>
      </c>
    </row>
    <row r="113" customFormat="false" ht="25.5" hidden="false" customHeight="true" outlineLevel="0" collapsed="false">
      <c r="A113" s="16" t="n">
        <v>109</v>
      </c>
      <c r="B113" s="16" t="s">
        <v>711</v>
      </c>
      <c r="C113" s="16" t="s">
        <v>79</v>
      </c>
      <c r="D113" s="16" t="s">
        <v>712</v>
      </c>
      <c r="E113" s="16" t="s">
        <v>333</v>
      </c>
      <c r="F113" s="16" t="s">
        <v>333</v>
      </c>
      <c r="G113" s="7" t="n">
        <v>1</v>
      </c>
      <c r="H113" s="13" t="n">
        <f aca="false">G113/23967</f>
        <v>4.17240372178412E-005</v>
      </c>
      <c r="I113" s="16" t="s">
        <v>713</v>
      </c>
      <c r="J113" s="16" t="s">
        <v>335</v>
      </c>
      <c r="K113" s="16" t="s">
        <v>209</v>
      </c>
      <c r="L113" s="16" t="s">
        <v>198</v>
      </c>
      <c r="M113" s="16" t="s">
        <v>184</v>
      </c>
      <c r="N113" s="16" t="s">
        <v>498</v>
      </c>
      <c r="O113" s="16"/>
      <c r="P113" s="27" t="n">
        <v>1</v>
      </c>
    </row>
    <row r="114" customFormat="false" ht="25.5" hidden="false" customHeight="true" outlineLevel="0" collapsed="false">
      <c r="A114" s="16" t="n">
        <v>110</v>
      </c>
      <c r="B114" s="16" t="s">
        <v>714</v>
      </c>
      <c r="C114" s="16" t="s">
        <v>81</v>
      </c>
      <c r="D114" s="16" t="s">
        <v>715</v>
      </c>
      <c r="E114" s="16" t="s">
        <v>333</v>
      </c>
      <c r="F114" s="16" t="s">
        <v>333</v>
      </c>
      <c r="G114" s="7" t="n">
        <v>1</v>
      </c>
      <c r="H114" s="13" t="n">
        <f aca="false">G114/23967</f>
        <v>4.17240372178412E-005</v>
      </c>
      <c r="I114" s="16" t="s">
        <v>716</v>
      </c>
      <c r="J114" s="16" t="s">
        <v>335</v>
      </c>
      <c r="K114" s="16" t="s">
        <v>205</v>
      </c>
      <c r="L114" s="16" t="s">
        <v>196</v>
      </c>
      <c r="M114" s="16" t="s">
        <v>386</v>
      </c>
      <c r="N114" s="16" t="s">
        <v>387</v>
      </c>
      <c r="O114" s="16" t="s">
        <v>717</v>
      </c>
      <c r="P114" s="27" t="n">
        <v>1</v>
      </c>
    </row>
    <row r="115" customFormat="false" ht="25.5" hidden="false" customHeight="true" outlineLevel="0" collapsed="false">
      <c r="A115" s="16" t="n">
        <v>111</v>
      </c>
      <c r="B115" s="16" t="s">
        <v>718</v>
      </c>
      <c r="C115" s="16" t="s">
        <v>83</v>
      </c>
      <c r="D115" s="16" t="s">
        <v>719</v>
      </c>
      <c r="E115" s="16" t="s">
        <v>333</v>
      </c>
      <c r="F115" s="16" t="s">
        <v>333</v>
      </c>
      <c r="G115" s="7" t="n">
        <v>1</v>
      </c>
      <c r="H115" s="13" t="n">
        <f aca="false">G115/23967</f>
        <v>4.17240372178412E-005</v>
      </c>
      <c r="I115" s="16" t="s">
        <v>720</v>
      </c>
      <c r="J115" s="16" t="s">
        <v>335</v>
      </c>
      <c r="K115" s="16" t="s">
        <v>205</v>
      </c>
      <c r="L115" s="16" t="s">
        <v>196</v>
      </c>
      <c r="M115" s="16" t="s">
        <v>190</v>
      </c>
      <c r="N115" s="16" t="s">
        <v>368</v>
      </c>
      <c r="O115" s="16" t="s">
        <v>721</v>
      </c>
      <c r="P115" s="27" t="n">
        <v>1</v>
      </c>
    </row>
    <row r="116" customFormat="false" ht="25.5" hidden="false" customHeight="true" outlineLevel="0" collapsed="false">
      <c r="A116" s="16" t="n">
        <v>112</v>
      </c>
      <c r="B116" s="16" t="s">
        <v>722</v>
      </c>
      <c r="C116" s="16" t="s">
        <v>87</v>
      </c>
      <c r="D116" s="16" t="s">
        <v>723</v>
      </c>
      <c r="E116" s="16" t="s">
        <v>333</v>
      </c>
      <c r="F116" s="16" t="s">
        <v>333</v>
      </c>
      <c r="G116" s="7" t="n">
        <v>1</v>
      </c>
      <c r="H116" s="13" t="n">
        <f aca="false">G116/23967</f>
        <v>4.17240372178412E-005</v>
      </c>
      <c r="I116" s="16" t="s">
        <v>724</v>
      </c>
      <c r="J116" s="16" t="s">
        <v>335</v>
      </c>
      <c r="K116" s="16" t="s">
        <v>205</v>
      </c>
      <c r="L116" s="16" t="s">
        <v>196</v>
      </c>
      <c r="M116" s="16" t="s">
        <v>386</v>
      </c>
      <c r="N116" s="16" t="s">
        <v>387</v>
      </c>
      <c r="O116" s="16" t="s">
        <v>725</v>
      </c>
      <c r="P116" s="27" t="n">
        <v>1</v>
      </c>
    </row>
    <row r="117" customFormat="false" ht="25.5" hidden="false" customHeight="true" outlineLevel="0" collapsed="false">
      <c r="A117" s="16" t="n">
        <v>113</v>
      </c>
      <c r="B117" s="16" t="s">
        <v>726</v>
      </c>
      <c r="C117" s="16" t="s">
        <v>89</v>
      </c>
      <c r="D117" s="16" t="s">
        <v>727</v>
      </c>
      <c r="E117" s="16" t="s">
        <v>333</v>
      </c>
      <c r="F117" s="16" t="s">
        <v>333</v>
      </c>
      <c r="G117" s="7" t="n">
        <v>1</v>
      </c>
      <c r="H117" s="13" t="n">
        <f aca="false">G117/23967</f>
        <v>4.17240372178412E-005</v>
      </c>
      <c r="I117" s="16" t="s">
        <v>728</v>
      </c>
      <c r="J117" s="16" t="s">
        <v>335</v>
      </c>
      <c r="K117" s="16" t="s">
        <v>205</v>
      </c>
      <c r="L117" s="16" t="s">
        <v>196</v>
      </c>
      <c r="M117" s="16" t="s">
        <v>190</v>
      </c>
      <c r="N117" s="16" t="s">
        <v>368</v>
      </c>
      <c r="O117" s="16"/>
      <c r="P117" s="27" t="n">
        <v>1</v>
      </c>
    </row>
    <row r="118" customFormat="false" ht="25.5" hidden="false" customHeight="true" outlineLevel="0" collapsed="false">
      <c r="A118" s="16" t="n">
        <v>114</v>
      </c>
      <c r="B118" s="16" t="s">
        <v>729</v>
      </c>
      <c r="C118" s="16" t="s">
        <v>101</v>
      </c>
      <c r="D118" s="16" t="s">
        <v>730</v>
      </c>
      <c r="E118" s="16" t="s">
        <v>332</v>
      </c>
      <c r="F118" s="16" t="s">
        <v>333</v>
      </c>
      <c r="G118" s="7" t="n">
        <v>1</v>
      </c>
      <c r="H118" s="13" t="n">
        <f aca="false">G118/23967</f>
        <v>4.17240372178412E-005</v>
      </c>
      <c r="I118" s="16" t="s">
        <v>731</v>
      </c>
      <c r="J118" s="16" t="s">
        <v>341</v>
      </c>
      <c r="K118" s="16" t="s">
        <v>213</v>
      </c>
      <c r="L118" s="16" t="s">
        <v>184</v>
      </c>
      <c r="M118" s="16" t="s">
        <v>396</v>
      </c>
      <c r="N118" s="16" t="s">
        <v>397</v>
      </c>
      <c r="O118" s="16" t="s">
        <v>732</v>
      </c>
      <c r="P118" s="27" t="n">
        <v>1</v>
      </c>
    </row>
    <row r="119" customFormat="false" ht="25.5" hidden="false" customHeight="true" outlineLevel="0" collapsed="false">
      <c r="A119" s="16" t="n">
        <v>115</v>
      </c>
      <c r="B119" s="16" t="s">
        <v>733</v>
      </c>
      <c r="C119" s="16" t="s">
        <v>101</v>
      </c>
      <c r="D119" s="16" t="s">
        <v>734</v>
      </c>
      <c r="E119" s="16" t="s">
        <v>333</v>
      </c>
      <c r="F119" s="16" t="s">
        <v>333</v>
      </c>
      <c r="G119" s="7" t="n">
        <v>1</v>
      </c>
      <c r="H119" s="13" t="n">
        <f aca="false">G119/23967</f>
        <v>4.17240372178412E-005</v>
      </c>
      <c r="I119" s="16" t="s">
        <v>735</v>
      </c>
      <c r="J119" s="16" t="s">
        <v>341</v>
      </c>
      <c r="K119" s="16" t="s">
        <v>213</v>
      </c>
      <c r="L119" s="16" t="s">
        <v>184</v>
      </c>
      <c r="M119" s="16" t="s">
        <v>545</v>
      </c>
      <c r="N119" s="16" t="s">
        <v>546</v>
      </c>
      <c r="O119" s="16"/>
      <c r="P119" s="27" t="n">
        <v>1</v>
      </c>
    </row>
    <row r="120" customFormat="false" ht="38.25" hidden="false" customHeight="true" outlineLevel="0" collapsed="false">
      <c r="A120" s="16" t="n">
        <v>116</v>
      </c>
      <c r="B120" s="16" t="s">
        <v>736</v>
      </c>
      <c r="C120" s="16" t="s">
        <v>101</v>
      </c>
      <c r="D120" s="16" t="s">
        <v>736</v>
      </c>
      <c r="E120" s="16" t="s">
        <v>333</v>
      </c>
      <c r="F120" s="16" t="s">
        <v>333</v>
      </c>
      <c r="G120" s="7" t="n">
        <v>1</v>
      </c>
      <c r="H120" s="13" t="n">
        <f aca="false">G120/23967</f>
        <v>4.17240372178412E-005</v>
      </c>
      <c r="I120" s="16" t="s">
        <v>737</v>
      </c>
      <c r="J120" s="16" t="s">
        <v>335</v>
      </c>
      <c r="K120" s="16" t="s">
        <v>207</v>
      </c>
      <c r="L120" s="16" t="s">
        <v>182</v>
      </c>
      <c r="M120" s="16" t="s">
        <v>471</v>
      </c>
      <c r="N120" s="16" t="s">
        <v>472</v>
      </c>
      <c r="O120" s="16"/>
      <c r="P120" s="27" t="n">
        <v>1</v>
      </c>
    </row>
    <row r="121" customFormat="false" ht="25.5" hidden="false" customHeight="true" outlineLevel="0" collapsed="false">
      <c r="A121" s="16" t="n">
        <v>117</v>
      </c>
      <c r="B121" s="16" t="s">
        <v>126</v>
      </c>
      <c r="C121" s="16" t="s">
        <v>83</v>
      </c>
      <c r="D121" s="16" t="s">
        <v>738</v>
      </c>
      <c r="E121" s="16" t="s">
        <v>332</v>
      </c>
      <c r="F121" s="16" t="s">
        <v>333</v>
      </c>
      <c r="G121" s="7" t="n">
        <v>0</v>
      </c>
      <c r="H121" s="13" t="n">
        <f aca="false">G121/23967</f>
        <v>0</v>
      </c>
      <c r="I121" s="16" t="s">
        <v>739</v>
      </c>
      <c r="J121" s="16" t="s">
        <v>341</v>
      </c>
      <c r="K121" s="16" t="s">
        <v>213</v>
      </c>
      <c r="L121" s="16" t="s">
        <v>184</v>
      </c>
      <c r="M121" s="16" t="s">
        <v>545</v>
      </c>
      <c r="N121" s="16" t="s">
        <v>546</v>
      </c>
      <c r="O121" s="16"/>
      <c r="P121" s="27" t="n">
        <v>193</v>
      </c>
    </row>
    <row r="122" customFormat="false" ht="25.5" hidden="false" customHeight="true" outlineLevel="0" collapsed="false">
      <c r="A122" s="16" t="n">
        <v>118</v>
      </c>
      <c r="B122" s="16" t="s">
        <v>740</v>
      </c>
      <c r="C122" s="16" t="s">
        <v>79</v>
      </c>
      <c r="D122" s="16" t="s">
        <v>741</v>
      </c>
      <c r="E122" s="16" t="s">
        <v>333</v>
      </c>
      <c r="F122" s="16" t="s">
        <v>333</v>
      </c>
      <c r="G122" s="7" t="n">
        <v>0</v>
      </c>
      <c r="H122" s="13" t="n">
        <f aca="false">G122/23967</f>
        <v>0</v>
      </c>
      <c r="I122" s="16" t="s">
        <v>742</v>
      </c>
      <c r="J122" s="16" t="s">
        <v>335</v>
      </c>
      <c r="K122" s="16" t="s">
        <v>207</v>
      </c>
      <c r="L122" s="16" t="s">
        <v>182</v>
      </c>
      <c r="M122" s="16" t="s">
        <v>471</v>
      </c>
      <c r="N122" s="16" t="s">
        <v>472</v>
      </c>
      <c r="O122" s="16" t="s">
        <v>743</v>
      </c>
      <c r="P122" s="27" t="n">
        <v>1</v>
      </c>
    </row>
    <row r="123" customFormat="false" ht="25.5" hidden="false" customHeight="true" outlineLevel="0" collapsed="false">
      <c r="A123" s="16" t="n">
        <v>119</v>
      </c>
      <c r="B123" s="16" t="s">
        <v>744</v>
      </c>
      <c r="C123" s="16" t="s">
        <v>81</v>
      </c>
      <c r="D123" s="16"/>
      <c r="E123" s="16" t="s">
        <v>332</v>
      </c>
      <c r="F123" s="16" t="s">
        <v>333</v>
      </c>
      <c r="G123" s="7" t="n">
        <v>0</v>
      </c>
      <c r="H123" s="13" t="n">
        <f aca="false">G123/23967</f>
        <v>0</v>
      </c>
      <c r="I123" s="16"/>
      <c r="J123" s="16" t="s">
        <v>341</v>
      </c>
      <c r="K123" s="16" t="s">
        <v>221</v>
      </c>
      <c r="L123" s="16" t="s">
        <v>200</v>
      </c>
      <c r="M123" s="16"/>
      <c r="N123" s="16" t="s">
        <v>745</v>
      </c>
      <c r="O123" s="16"/>
      <c r="P123" s="27" t="n">
        <v>0</v>
      </c>
    </row>
    <row r="124" customFormat="false" ht="25.5" hidden="false" customHeight="true" outlineLevel="0" collapsed="false">
      <c r="A124" s="16" t="n">
        <v>120</v>
      </c>
      <c r="B124" s="16" t="s">
        <v>746</v>
      </c>
      <c r="C124" s="16" t="s">
        <v>95</v>
      </c>
      <c r="D124" s="16" t="s">
        <v>747</v>
      </c>
      <c r="E124" s="16" t="s">
        <v>333</v>
      </c>
      <c r="F124" s="16" t="s">
        <v>333</v>
      </c>
      <c r="G124" s="7" t="n">
        <v>0</v>
      </c>
      <c r="H124" s="13" t="n">
        <f aca="false">G124/23967</f>
        <v>0</v>
      </c>
      <c r="I124" s="16"/>
      <c r="J124" s="16" t="s">
        <v>335</v>
      </c>
      <c r="K124" s="16" t="s">
        <v>205</v>
      </c>
      <c r="L124" s="16" t="s">
        <v>196</v>
      </c>
      <c r="M124" s="16" t="s">
        <v>190</v>
      </c>
      <c r="N124" s="16" t="s">
        <v>368</v>
      </c>
      <c r="O124" s="16"/>
      <c r="P124" s="27" t="n">
        <v>0</v>
      </c>
    </row>
    <row r="125" customFormat="false" ht="25.5" hidden="false" customHeight="true" outlineLevel="0" collapsed="false">
      <c r="A125" s="16" t="n">
        <v>121</v>
      </c>
      <c r="B125" s="16" t="s">
        <v>748</v>
      </c>
      <c r="C125" s="16" t="s">
        <v>95</v>
      </c>
      <c r="D125" s="16" t="s">
        <v>749</v>
      </c>
      <c r="E125" s="16" t="s">
        <v>333</v>
      </c>
      <c r="F125" s="16" t="s">
        <v>333</v>
      </c>
      <c r="G125" s="7" t="n">
        <v>0</v>
      </c>
      <c r="H125" s="13" t="n">
        <f aca="false">G125/23967</f>
        <v>0</v>
      </c>
      <c r="I125" s="16"/>
      <c r="J125" s="16" t="s">
        <v>335</v>
      </c>
      <c r="K125" s="16" t="s">
        <v>205</v>
      </c>
      <c r="L125" s="16" t="s">
        <v>196</v>
      </c>
      <c r="M125" s="16" t="s">
        <v>190</v>
      </c>
      <c r="N125" s="16" t="s">
        <v>368</v>
      </c>
      <c r="O125" s="16"/>
      <c r="P125" s="27" t="n">
        <v>0</v>
      </c>
    </row>
    <row r="126" customFormat="false" ht="25.5" hidden="false" customHeight="true" outlineLevel="0" collapsed="false">
      <c r="A126" s="16" t="n">
        <v>122</v>
      </c>
      <c r="B126" s="16" t="s">
        <v>750</v>
      </c>
      <c r="C126" s="16" t="s">
        <v>95</v>
      </c>
      <c r="D126" s="16" t="s">
        <v>751</v>
      </c>
      <c r="E126" s="16" t="s">
        <v>333</v>
      </c>
      <c r="F126" s="16" t="s">
        <v>333</v>
      </c>
      <c r="G126" s="7" t="n">
        <v>0</v>
      </c>
      <c r="H126" s="13" t="n">
        <f aca="false">G126/23967</f>
        <v>0</v>
      </c>
      <c r="I126" s="16" t="s">
        <v>752</v>
      </c>
      <c r="J126" s="16" t="s">
        <v>335</v>
      </c>
      <c r="K126" s="16" t="s">
        <v>207</v>
      </c>
      <c r="L126" s="16" t="s">
        <v>182</v>
      </c>
      <c r="M126" s="16" t="s">
        <v>471</v>
      </c>
      <c r="N126" s="16" t="s">
        <v>472</v>
      </c>
      <c r="O126" s="16"/>
      <c r="P126" s="27" t="n">
        <v>0</v>
      </c>
    </row>
    <row r="127" customFormat="false" ht="25.5" hidden="false" customHeight="true" outlineLevel="0" collapsed="false">
      <c r="A127" s="16" t="n">
        <v>123</v>
      </c>
      <c r="B127" s="16" t="s">
        <v>753</v>
      </c>
      <c r="C127" s="16" t="s">
        <v>95</v>
      </c>
      <c r="D127" s="16" t="s">
        <v>754</v>
      </c>
      <c r="E127" s="16" t="s">
        <v>333</v>
      </c>
      <c r="F127" s="16" t="s">
        <v>333</v>
      </c>
      <c r="G127" s="7" t="n">
        <v>0</v>
      </c>
      <c r="H127" s="13" t="n">
        <f aca="false">G127/23967</f>
        <v>0</v>
      </c>
      <c r="I127" s="16" t="s">
        <v>755</v>
      </c>
      <c r="J127" s="16" t="s">
        <v>335</v>
      </c>
      <c r="K127" s="16" t="s">
        <v>207</v>
      </c>
      <c r="L127" s="16" t="s">
        <v>182</v>
      </c>
      <c r="M127" s="16" t="s">
        <v>471</v>
      </c>
      <c r="N127" s="16" t="s">
        <v>472</v>
      </c>
      <c r="O127" s="16"/>
      <c r="P127" s="27" t="n">
        <v>0</v>
      </c>
    </row>
    <row r="128" customFormat="false" ht="38.25" hidden="false" customHeight="true" outlineLevel="0" collapsed="false">
      <c r="A128" s="16" t="n">
        <v>124</v>
      </c>
      <c r="B128" s="16" t="s">
        <v>756</v>
      </c>
      <c r="C128" s="16" t="s">
        <v>95</v>
      </c>
      <c r="D128" s="16" t="s">
        <v>757</v>
      </c>
      <c r="E128" s="16" t="s">
        <v>333</v>
      </c>
      <c r="F128" s="16" t="s">
        <v>333</v>
      </c>
      <c r="G128" s="7" t="n">
        <v>0</v>
      </c>
      <c r="H128" s="13" t="n">
        <f aca="false">G128/23967</f>
        <v>0</v>
      </c>
      <c r="I128" s="16" t="s">
        <v>758</v>
      </c>
      <c r="J128" s="16" t="s">
        <v>335</v>
      </c>
      <c r="K128" s="16" t="s">
        <v>207</v>
      </c>
      <c r="L128" s="16" t="s">
        <v>182</v>
      </c>
      <c r="M128" s="16" t="s">
        <v>471</v>
      </c>
      <c r="N128" s="16" t="s">
        <v>472</v>
      </c>
      <c r="O128" s="16"/>
      <c r="P128" s="27" t="n">
        <v>0</v>
      </c>
    </row>
    <row r="129" customFormat="false" ht="25.5" hidden="false" customHeight="true" outlineLevel="0" collapsed="false">
      <c r="A129" s="16" t="n">
        <v>125</v>
      </c>
      <c r="B129" s="16" t="s">
        <v>759</v>
      </c>
      <c r="C129" s="16" t="s">
        <v>97</v>
      </c>
      <c r="D129" s="16" t="s">
        <v>760</v>
      </c>
      <c r="E129" s="16" t="s">
        <v>333</v>
      </c>
      <c r="F129" s="16" t="s">
        <v>333</v>
      </c>
      <c r="G129" s="7" t="n">
        <v>0</v>
      </c>
      <c r="H129" s="13" t="n">
        <f aca="false">G129/23967</f>
        <v>0</v>
      </c>
      <c r="I129" s="16"/>
      <c r="J129" s="16" t="s">
        <v>335</v>
      </c>
      <c r="K129" s="16" t="s">
        <v>205</v>
      </c>
      <c r="L129" s="16" t="s">
        <v>196</v>
      </c>
      <c r="M129" s="16" t="s">
        <v>190</v>
      </c>
      <c r="N129" s="16" t="s">
        <v>368</v>
      </c>
      <c r="O129" s="16" t="s">
        <v>761</v>
      </c>
      <c r="P129" s="27" t="n">
        <v>0</v>
      </c>
    </row>
    <row r="130" customFormat="false" ht="25.5" hidden="false" customHeight="true" outlineLevel="0" collapsed="false">
      <c r="A130" s="16" t="n">
        <v>126</v>
      </c>
      <c r="B130" s="16" t="s">
        <v>762</v>
      </c>
      <c r="C130" s="16" t="s">
        <v>97</v>
      </c>
      <c r="D130" s="16" t="s">
        <v>763</v>
      </c>
      <c r="E130" s="16" t="s">
        <v>333</v>
      </c>
      <c r="F130" s="16" t="s">
        <v>333</v>
      </c>
      <c r="G130" s="7" t="n">
        <v>0</v>
      </c>
      <c r="H130" s="13" t="n">
        <f aca="false">G130/23967</f>
        <v>0</v>
      </c>
      <c r="I130" s="16"/>
      <c r="J130" s="16" t="s">
        <v>335</v>
      </c>
      <c r="K130" s="16" t="s">
        <v>205</v>
      </c>
      <c r="L130" s="16" t="s">
        <v>196</v>
      </c>
      <c r="M130" s="16" t="s">
        <v>190</v>
      </c>
      <c r="N130" s="16" t="s">
        <v>368</v>
      </c>
      <c r="O130" s="16"/>
      <c r="P130" s="27" t="n">
        <v>0</v>
      </c>
    </row>
    <row r="131" customFormat="false" ht="25.5" hidden="false" customHeight="true" outlineLevel="0" collapsed="false">
      <c r="A131" s="16" t="n">
        <v>127</v>
      </c>
      <c r="B131" s="16" t="s">
        <v>764</v>
      </c>
      <c r="C131" s="16" t="s">
        <v>97</v>
      </c>
      <c r="D131" s="16" t="s">
        <v>765</v>
      </c>
      <c r="E131" s="16" t="s">
        <v>333</v>
      </c>
      <c r="F131" s="16" t="s">
        <v>333</v>
      </c>
      <c r="G131" s="7" t="n">
        <v>0</v>
      </c>
      <c r="H131" s="13" t="n">
        <f aca="false">G131/23967</f>
        <v>0</v>
      </c>
      <c r="I131" s="16"/>
      <c r="J131" s="16" t="s">
        <v>335</v>
      </c>
      <c r="K131" s="16" t="s">
        <v>205</v>
      </c>
      <c r="L131" s="16" t="s">
        <v>196</v>
      </c>
      <c r="M131" s="16" t="s">
        <v>190</v>
      </c>
      <c r="N131" s="16" t="s">
        <v>368</v>
      </c>
      <c r="O131" s="16" t="s">
        <v>676</v>
      </c>
      <c r="P131" s="27" t="n">
        <v>0</v>
      </c>
    </row>
    <row r="132" customFormat="false" ht="25.5" hidden="false" customHeight="true" outlineLevel="0" collapsed="false">
      <c r="A132" s="16" t="n">
        <v>128</v>
      </c>
      <c r="B132" s="16" t="s">
        <v>766</v>
      </c>
      <c r="C132" s="16" t="s">
        <v>97</v>
      </c>
      <c r="D132" s="16" t="s">
        <v>767</v>
      </c>
      <c r="E132" s="16" t="s">
        <v>333</v>
      </c>
      <c r="F132" s="16" t="s">
        <v>333</v>
      </c>
      <c r="G132" s="7" t="n">
        <v>0</v>
      </c>
      <c r="H132" s="13" t="n">
        <f aca="false">G132/23967</f>
        <v>0</v>
      </c>
      <c r="I132" s="16" t="s">
        <v>768</v>
      </c>
      <c r="J132" s="16" t="s">
        <v>341</v>
      </c>
      <c r="K132" s="16" t="s">
        <v>221</v>
      </c>
      <c r="L132" s="16" t="s">
        <v>200</v>
      </c>
      <c r="M132" s="16" t="s">
        <v>184</v>
      </c>
      <c r="N132" s="16" t="s">
        <v>769</v>
      </c>
      <c r="O132" s="16"/>
      <c r="P132" s="27" t="n">
        <v>0</v>
      </c>
    </row>
    <row r="133" customFormat="false" ht="25.5" hidden="false" customHeight="true" outlineLevel="0" collapsed="false">
      <c r="A133" s="16" t="n">
        <v>129</v>
      </c>
      <c r="B133" s="16" t="s">
        <v>770</v>
      </c>
      <c r="C133" s="16" t="s">
        <v>97</v>
      </c>
      <c r="D133" s="16" t="s">
        <v>703</v>
      </c>
      <c r="E133" s="16" t="s">
        <v>333</v>
      </c>
      <c r="F133" s="16" t="s">
        <v>333</v>
      </c>
      <c r="G133" s="7" t="n">
        <v>0</v>
      </c>
      <c r="H133" s="13" t="n">
        <f aca="false">G133/23967</f>
        <v>0</v>
      </c>
      <c r="I133" s="16"/>
      <c r="J133" s="16" t="s">
        <v>335</v>
      </c>
      <c r="K133" s="16" t="s">
        <v>209</v>
      </c>
      <c r="L133" s="16" t="s">
        <v>198</v>
      </c>
      <c r="M133" s="16" t="s">
        <v>182</v>
      </c>
      <c r="N133" s="16" t="s">
        <v>573</v>
      </c>
      <c r="O133" s="16"/>
      <c r="P133" s="27" t="n">
        <v>0</v>
      </c>
    </row>
    <row r="134" customFormat="false" ht="25.5" hidden="false" customHeight="true" outlineLevel="0" collapsed="false">
      <c r="A134" s="16" t="n">
        <v>130</v>
      </c>
      <c r="B134" s="16" t="s">
        <v>771</v>
      </c>
      <c r="C134" s="16" t="s">
        <v>97</v>
      </c>
      <c r="D134" s="16" t="s">
        <v>772</v>
      </c>
      <c r="E134" s="16" t="s">
        <v>333</v>
      </c>
      <c r="F134" s="16" t="s">
        <v>333</v>
      </c>
      <c r="G134" s="7" t="n">
        <v>0</v>
      </c>
      <c r="H134" s="13" t="n">
        <f aca="false">G134/23967</f>
        <v>0</v>
      </c>
      <c r="I134" s="16"/>
      <c r="J134" s="16" t="s">
        <v>335</v>
      </c>
      <c r="K134" s="16" t="s">
        <v>205</v>
      </c>
      <c r="L134" s="16" t="s">
        <v>196</v>
      </c>
      <c r="M134" s="16" t="s">
        <v>190</v>
      </c>
      <c r="N134" s="16" t="s">
        <v>368</v>
      </c>
      <c r="O134" s="16"/>
      <c r="P134" s="27" t="n">
        <v>0</v>
      </c>
    </row>
    <row r="135" customFormat="false" ht="51" hidden="false" customHeight="true" outlineLevel="0" collapsed="false">
      <c r="A135" s="16" t="n">
        <v>131</v>
      </c>
      <c r="B135" s="16" t="s">
        <v>773</v>
      </c>
      <c r="C135" s="16" t="s">
        <v>97</v>
      </c>
      <c r="D135" s="16" t="s">
        <v>774</v>
      </c>
      <c r="E135" s="16" t="s">
        <v>333</v>
      </c>
      <c r="F135" s="16" t="s">
        <v>333</v>
      </c>
      <c r="G135" s="7" t="n">
        <v>0</v>
      </c>
      <c r="H135" s="13" t="n">
        <f aca="false">G135/23967</f>
        <v>0</v>
      </c>
      <c r="I135" s="16"/>
      <c r="J135" s="16" t="s">
        <v>335</v>
      </c>
      <c r="K135" s="16" t="s">
        <v>205</v>
      </c>
      <c r="L135" s="16" t="s">
        <v>196</v>
      </c>
      <c r="M135" s="16" t="s">
        <v>190</v>
      </c>
      <c r="N135" s="16" t="s">
        <v>368</v>
      </c>
      <c r="O135" s="16" t="s">
        <v>761</v>
      </c>
      <c r="P135" s="27" t="n">
        <v>0</v>
      </c>
    </row>
    <row r="136" customFormat="false" ht="25.5" hidden="false" customHeight="true" outlineLevel="0" collapsed="false">
      <c r="A136" s="16" t="n">
        <v>132</v>
      </c>
      <c r="B136" s="16" t="s">
        <v>775</v>
      </c>
      <c r="C136" s="16" t="s">
        <v>97</v>
      </c>
      <c r="D136" s="16" t="s">
        <v>776</v>
      </c>
      <c r="E136" s="16" t="s">
        <v>333</v>
      </c>
      <c r="F136" s="16" t="s">
        <v>333</v>
      </c>
      <c r="G136" s="7" t="n">
        <v>0</v>
      </c>
      <c r="H136" s="13" t="n">
        <f aca="false">G136/23967</f>
        <v>0</v>
      </c>
      <c r="I136" s="16"/>
      <c r="J136" s="16" t="s">
        <v>335</v>
      </c>
      <c r="K136" s="16" t="s">
        <v>205</v>
      </c>
      <c r="L136" s="16" t="s">
        <v>196</v>
      </c>
      <c r="M136" s="16" t="s">
        <v>190</v>
      </c>
      <c r="N136" s="16" t="s">
        <v>368</v>
      </c>
      <c r="O136" s="16"/>
      <c r="P136" s="27" t="n">
        <v>0</v>
      </c>
    </row>
    <row r="137" customFormat="false" ht="38.25" hidden="false" customHeight="true" outlineLevel="0" collapsed="false">
      <c r="A137" s="16" t="n">
        <v>133</v>
      </c>
      <c r="B137" s="16" t="s">
        <v>777</v>
      </c>
      <c r="C137" s="16" t="s">
        <v>97</v>
      </c>
      <c r="D137" s="16" t="s">
        <v>778</v>
      </c>
      <c r="E137" s="16" t="s">
        <v>333</v>
      </c>
      <c r="F137" s="16" t="s">
        <v>333</v>
      </c>
      <c r="G137" s="7" t="n">
        <v>0</v>
      </c>
      <c r="H137" s="13" t="n">
        <f aca="false">G137/23967</f>
        <v>0</v>
      </c>
      <c r="I137" s="16"/>
      <c r="J137" s="16" t="s">
        <v>341</v>
      </c>
      <c r="K137" s="16" t="s">
        <v>213</v>
      </c>
      <c r="L137" s="16" t="s">
        <v>184</v>
      </c>
      <c r="M137" s="16" t="s">
        <v>396</v>
      </c>
      <c r="N137" s="16" t="s">
        <v>397</v>
      </c>
      <c r="O137" s="16"/>
      <c r="P137" s="27" t="n">
        <v>0</v>
      </c>
    </row>
    <row r="138" customFormat="false" ht="38.25" hidden="false" customHeight="true" outlineLevel="0" collapsed="false">
      <c r="A138" s="16" t="n">
        <v>134</v>
      </c>
      <c r="B138" s="16" t="s">
        <v>779</v>
      </c>
      <c r="C138" s="16" t="s">
        <v>97</v>
      </c>
      <c r="D138" s="16" t="s">
        <v>780</v>
      </c>
      <c r="E138" s="16" t="s">
        <v>333</v>
      </c>
      <c r="F138" s="16" t="s">
        <v>333</v>
      </c>
      <c r="G138" s="7" t="n">
        <v>0</v>
      </c>
      <c r="H138" s="13" t="n">
        <f aca="false">G138/23967</f>
        <v>0</v>
      </c>
      <c r="I138" s="16"/>
      <c r="J138" s="16" t="s">
        <v>341</v>
      </c>
      <c r="K138" s="16" t="s">
        <v>213</v>
      </c>
      <c r="L138" s="16" t="s">
        <v>184</v>
      </c>
      <c r="M138" s="16" t="s">
        <v>396</v>
      </c>
      <c r="N138" s="16" t="s">
        <v>397</v>
      </c>
      <c r="O138" s="16"/>
      <c r="P138" s="27" t="n">
        <v>0</v>
      </c>
    </row>
    <row r="139" customFormat="false" ht="38.25" hidden="false" customHeight="true" outlineLevel="0" collapsed="false">
      <c r="A139" s="16" t="n">
        <v>135</v>
      </c>
      <c r="B139" s="16" t="s">
        <v>781</v>
      </c>
      <c r="C139" s="16" t="s">
        <v>97</v>
      </c>
      <c r="D139" s="16" t="s">
        <v>782</v>
      </c>
      <c r="E139" s="16" t="s">
        <v>333</v>
      </c>
      <c r="F139" s="16" t="s">
        <v>333</v>
      </c>
      <c r="G139" s="7" t="n">
        <v>0</v>
      </c>
      <c r="H139" s="13" t="n">
        <f aca="false">G139/23967</f>
        <v>0</v>
      </c>
      <c r="I139" s="16"/>
      <c r="J139" s="16" t="s">
        <v>335</v>
      </c>
      <c r="K139" s="16" t="s">
        <v>205</v>
      </c>
      <c r="L139" s="16" t="s">
        <v>196</v>
      </c>
      <c r="M139" s="16" t="s">
        <v>190</v>
      </c>
      <c r="N139" s="16" t="s">
        <v>368</v>
      </c>
      <c r="O139" s="16"/>
      <c r="P139" s="27" t="n">
        <v>0</v>
      </c>
    </row>
    <row r="140" customFormat="false" ht="38.25" hidden="false" customHeight="true" outlineLevel="0" collapsed="false">
      <c r="A140" s="16" t="n">
        <v>136</v>
      </c>
      <c r="B140" s="16" t="s">
        <v>783</v>
      </c>
      <c r="C140" s="16" t="s">
        <v>97</v>
      </c>
      <c r="D140" s="16" t="s">
        <v>568</v>
      </c>
      <c r="E140" s="16" t="s">
        <v>333</v>
      </c>
      <c r="F140" s="16" t="s">
        <v>333</v>
      </c>
      <c r="G140" s="7" t="n">
        <v>0</v>
      </c>
      <c r="H140" s="13" t="n">
        <f aca="false">G140/23967</f>
        <v>0</v>
      </c>
      <c r="I140" s="16"/>
      <c r="J140" s="16" t="s">
        <v>335</v>
      </c>
      <c r="K140" s="16" t="s">
        <v>205</v>
      </c>
      <c r="L140" s="16" t="s">
        <v>196</v>
      </c>
      <c r="M140" s="16" t="s">
        <v>190</v>
      </c>
      <c r="N140" s="16" t="s">
        <v>368</v>
      </c>
      <c r="O140" s="16" t="s">
        <v>761</v>
      </c>
      <c r="P140" s="27" t="n">
        <v>0</v>
      </c>
    </row>
    <row r="141" customFormat="false" ht="25.5" hidden="false" customHeight="true" outlineLevel="0" collapsed="false">
      <c r="A141" s="16" t="n">
        <v>137</v>
      </c>
      <c r="B141" s="16" t="s">
        <v>784</v>
      </c>
      <c r="C141" s="16" t="s">
        <v>99</v>
      </c>
      <c r="D141" s="16" t="s">
        <v>785</v>
      </c>
      <c r="E141" s="16" t="s">
        <v>333</v>
      </c>
      <c r="F141" s="16" t="s">
        <v>333</v>
      </c>
      <c r="G141" s="7" t="n">
        <v>0</v>
      </c>
      <c r="H141" s="13" t="n">
        <f aca="false">G141/23967</f>
        <v>0</v>
      </c>
      <c r="I141" s="16"/>
      <c r="J141" s="16" t="s">
        <v>335</v>
      </c>
      <c r="K141" s="16" t="s">
        <v>207</v>
      </c>
      <c r="L141" s="16" t="s">
        <v>182</v>
      </c>
      <c r="M141" s="16" t="s">
        <v>471</v>
      </c>
      <c r="N141" s="16" t="s">
        <v>472</v>
      </c>
      <c r="O141" s="16"/>
      <c r="P141" s="27" t="n">
        <v>0</v>
      </c>
    </row>
    <row r="142" customFormat="false" ht="25.5" hidden="false" customHeight="true" outlineLevel="0" collapsed="false">
      <c r="A142" s="16" t="n">
        <v>138</v>
      </c>
      <c r="B142" s="16" t="s">
        <v>786</v>
      </c>
      <c r="C142" s="16" t="s">
        <v>99</v>
      </c>
      <c r="D142" s="16" t="s">
        <v>787</v>
      </c>
      <c r="E142" s="16" t="s">
        <v>333</v>
      </c>
      <c r="F142" s="16" t="s">
        <v>333</v>
      </c>
      <c r="G142" s="7" t="n">
        <v>0</v>
      </c>
      <c r="H142" s="13" t="n">
        <f aca="false">G142/23967</f>
        <v>0</v>
      </c>
      <c r="I142" s="16"/>
      <c r="J142" s="16" t="s">
        <v>335</v>
      </c>
      <c r="K142" s="16" t="s">
        <v>205</v>
      </c>
      <c r="L142" s="16" t="s">
        <v>196</v>
      </c>
      <c r="M142" s="16" t="s">
        <v>190</v>
      </c>
      <c r="N142" s="16" t="s">
        <v>368</v>
      </c>
      <c r="O142" s="16"/>
      <c r="P142" s="27" t="n">
        <v>0</v>
      </c>
    </row>
    <row r="143" customFormat="false" ht="25.5" hidden="false" customHeight="true" outlineLevel="0" collapsed="false">
      <c r="A143" s="16" t="n">
        <v>139</v>
      </c>
      <c r="B143" s="16" t="s">
        <v>788</v>
      </c>
      <c r="C143" s="16" t="s">
        <v>99</v>
      </c>
      <c r="D143" s="16" t="s">
        <v>789</v>
      </c>
      <c r="E143" s="16" t="s">
        <v>333</v>
      </c>
      <c r="F143" s="16" t="s">
        <v>333</v>
      </c>
      <c r="G143" s="7" t="n">
        <v>0</v>
      </c>
      <c r="H143" s="13" t="n">
        <f aca="false">G143/23967</f>
        <v>0</v>
      </c>
      <c r="I143" s="16"/>
      <c r="J143" s="16" t="s">
        <v>335</v>
      </c>
      <c r="K143" s="16" t="s">
        <v>205</v>
      </c>
      <c r="L143" s="16" t="s">
        <v>196</v>
      </c>
      <c r="M143" s="16" t="s">
        <v>190</v>
      </c>
      <c r="N143" s="16" t="s">
        <v>368</v>
      </c>
      <c r="O143" s="16"/>
      <c r="P143" s="27" t="n">
        <v>0</v>
      </c>
    </row>
    <row r="144" customFormat="false" ht="51" hidden="false" customHeight="true" outlineLevel="0" collapsed="false">
      <c r="A144" s="16" t="n">
        <v>140</v>
      </c>
      <c r="B144" s="16" t="s">
        <v>790</v>
      </c>
      <c r="C144" s="16" t="s">
        <v>79</v>
      </c>
      <c r="D144" s="16" t="s">
        <v>791</v>
      </c>
      <c r="E144" s="16" t="s">
        <v>333</v>
      </c>
      <c r="F144" s="16" t="s">
        <v>333</v>
      </c>
      <c r="G144" s="7" t="n">
        <v>0</v>
      </c>
      <c r="H144" s="13" t="n">
        <f aca="false">G144/23967</f>
        <v>0</v>
      </c>
      <c r="I144" s="16"/>
      <c r="J144" s="16" t="s">
        <v>335</v>
      </c>
      <c r="K144" s="16" t="s">
        <v>209</v>
      </c>
      <c r="L144" s="16" t="s">
        <v>198</v>
      </c>
      <c r="M144" s="16" t="s">
        <v>184</v>
      </c>
      <c r="N144" s="16" t="s">
        <v>498</v>
      </c>
      <c r="O144" s="16" t="s">
        <v>792</v>
      </c>
      <c r="P144" s="27" t="n">
        <v>0</v>
      </c>
    </row>
    <row r="145" customFormat="false" ht="51" hidden="false" customHeight="true" outlineLevel="0" collapsed="false">
      <c r="A145" s="16" t="n">
        <v>141</v>
      </c>
      <c r="B145" s="16" t="s">
        <v>793</v>
      </c>
      <c r="C145" s="16" t="s">
        <v>79</v>
      </c>
      <c r="D145" s="16" t="s">
        <v>794</v>
      </c>
      <c r="E145" s="16" t="s">
        <v>333</v>
      </c>
      <c r="F145" s="16" t="s">
        <v>333</v>
      </c>
      <c r="G145" s="7" t="n">
        <v>0</v>
      </c>
      <c r="H145" s="13" t="n">
        <f aca="false">G145/23967</f>
        <v>0</v>
      </c>
      <c r="I145" s="16"/>
      <c r="J145" s="16" t="s">
        <v>335</v>
      </c>
      <c r="K145" s="16" t="s">
        <v>209</v>
      </c>
      <c r="L145" s="16" t="s">
        <v>198</v>
      </c>
      <c r="M145" s="16" t="s">
        <v>184</v>
      </c>
      <c r="N145" s="16" t="s">
        <v>498</v>
      </c>
      <c r="O145" s="16" t="s">
        <v>795</v>
      </c>
      <c r="P145" s="27" t="n">
        <v>0</v>
      </c>
    </row>
    <row r="146" customFormat="false" ht="38.25" hidden="false" customHeight="true" outlineLevel="0" collapsed="false">
      <c r="A146" s="16" t="n">
        <v>142</v>
      </c>
      <c r="B146" s="16" t="s">
        <v>796</v>
      </c>
      <c r="C146" s="16" t="s">
        <v>79</v>
      </c>
      <c r="D146" s="16" t="s">
        <v>797</v>
      </c>
      <c r="E146" s="16" t="s">
        <v>333</v>
      </c>
      <c r="F146" s="16" t="s">
        <v>333</v>
      </c>
      <c r="G146" s="7" t="n">
        <v>0</v>
      </c>
      <c r="H146" s="13" t="n">
        <f aca="false">G146/23967</f>
        <v>0</v>
      </c>
      <c r="I146" s="16"/>
      <c r="J146" s="16" t="s">
        <v>335</v>
      </c>
      <c r="K146" s="16" t="s">
        <v>209</v>
      </c>
      <c r="L146" s="16" t="s">
        <v>198</v>
      </c>
      <c r="M146" s="16" t="s">
        <v>184</v>
      </c>
      <c r="N146" s="16" t="s">
        <v>498</v>
      </c>
      <c r="O146" s="16"/>
      <c r="P146" s="27" t="n">
        <v>0</v>
      </c>
    </row>
    <row r="147" customFormat="false" ht="38.25" hidden="false" customHeight="true" outlineLevel="0" collapsed="false">
      <c r="A147" s="16" t="n">
        <v>143</v>
      </c>
      <c r="B147" s="16" t="s">
        <v>798</v>
      </c>
      <c r="C147" s="16" t="s">
        <v>79</v>
      </c>
      <c r="D147" s="16" t="s">
        <v>799</v>
      </c>
      <c r="E147" s="16" t="s">
        <v>333</v>
      </c>
      <c r="F147" s="16" t="s">
        <v>333</v>
      </c>
      <c r="G147" s="7" t="n">
        <v>0</v>
      </c>
      <c r="H147" s="13" t="n">
        <f aca="false">G147/23967</f>
        <v>0</v>
      </c>
      <c r="I147" s="16" t="s">
        <v>800</v>
      </c>
      <c r="J147" s="16" t="s">
        <v>341</v>
      </c>
      <c r="K147" s="16" t="s">
        <v>213</v>
      </c>
      <c r="L147" s="16" t="s">
        <v>184</v>
      </c>
      <c r="M147" s="16" t="s">
        <v>198</v>
      </c>
      <c r="N147" s="16" t="s">
        <v>589</v>
      </c>
      <c r="O147" s="16"/>
      <c r="P147" s="27" t="n">
        <v>0</v>
      </c>
    </row>
    <row r="148" customFormat="false" ht="51" hidden="false" customHeight="true" outlineLevel="0" collapsed="false">
      <c r="A148" s="16" t="n">
        <v>144</v>
      </c>
      <c r="B148" s="16" t="s">
        <v>801</v>
      </c>
      <c r="C148" s="16" t="s">
        <v>79</v>
      </c>
      <c r="D148" s="16" t="s">
        <v>767</v>
      </c>
      <c r="E148" s="16" t="s">
        <v>333</v>
      </c>
      <c r="F148" s="16" t="s">
        <v>333</v>
      </c>
      <c r="G148" s="7" t="n">
        <v>0</v>
      </c>
      <c r="H148" s="13" t="n">
        <f aca="false">G148/23967</f>
        <v>0</v>
      </c>
      <c r="I148" s="16" t="s">
        <v>768</v>
      </c>
      <c r="J148" s="16" t="s">
        <v>341</v>
      </c>
      <c r="K148" s="16" t="s">
        <v>221</v>
      </c>
      <c r="L148" s="16" t="s">
        <v>200</v>
      </c>
      <c r="M148" s="16" t="s">
        <v>184</v>
      </c>
      <c r="N148" s="16" t="s">
        <v>769</v>
      </c>
      <c r="O148" s="16"/>
      <c r="P148" s="27" t="n">
        <v>0</v>
      </c>
    </row>
    <row r="149" customFormat="false" ht="51" hidden="false" customHeight="true" outlineLevel="0" collapsed="false">
      <c r="A149" s="16" t="n">
        <v>145</v>
      </c>
      <c r="B149" s="16" t="s">
        <v>802</v>
      </c>
      <c r="C149" s="16" t="s">
        <v>79</v>
      </c>
      <c r="D149" s="16" t="s">
        <v>785</v>
      </c>
      <c r="E149" s="16" t="s">
        <v>333</v>
      </c>
      <c r="F149" s="16" t="s">
        <v>333</v>
      </c>
      <c r="G149" s="7" t="n">
        <v>0</v>
      </c>
      <c r="H149" s="13" t="n">
        <f aca="false">G149/23967</f>
        <v>0</v>
      </c>
      <c r="I149" s="16"/>
      <c r="J149" s="16" t="s">
        <v>335</v>
      </c>
      <c r="K149" s="16" t="s">
        <v>207</v>
      </c>
      <c r="L149" s="16" t="s">
        <v>182</v>
      </c>
      <c r="M149" s="16" t="s">
        <v>471</v>
      </c>
      <c r="N149" s="16" t="s">
        <v>472</v>
      </c>
      <c r="O149" s="16" t="s">
        <v>803</v>
      </c>
      <c r="P149" s="27" t="n">
        <v>0</v>
      </c>
    </row>
    <row r="150" customFormat="false" ht="51" hidden="false" customHeight="true" outlineLevel="0" collapsed="false">
      <c r="A150" s="16" t="n">
        <v>146</v>
      </c>
      <c r="B150" s="16" t="s">
        <v>804</v>
      </c>
      <c r="C150" s="16" t="s">
        <v>79</v>
      </c>
      <c r="D150" s="16" t="s">
        <v>805</v>
      </c>
      <c r="E150" s="16" t="s">
        <v>333</v>
      </c>
      <c r="F150" s="16" t="s">
        <v>333</v>
      </c>
      <c r="G150" s="7" t="n">
        <v>0</v>
      </c>
      <c r="H150" s="13" t="n">
        <f aca="false">G150/23967</f>
        <v>0</v>
      </c>
      <c r="I150" s="16"/>
      <c r="J150" s="16" t="s">
        <v>335</v>
      </c>
      <c r="K150" s="16" t="s">
        <v>207</v>
      </c>
      <c r="L150" s="16" t="s">
        <v>182</v>
      </c>
      <c r="M150" s="16" t="s">
        <v>471</v>
      </c>
      <c r="N150" s="16" t="s">
        <v>472</v>
      </c>
      <c r="O150" s="16" t="s">
        <v>743</v>
      </c>
      <c r="P150" s="27" t="n">
        <v>0</v>
      </c>
    </row>
    <row r="151" customFormat="false" ht="51" hidden="false" customHeight="true" outlineLevel="0" collapsed="false">
      <c r="A151" s="16" t="n">
        <v>147</v>
      </c>
      <c r="B151" s="16" t="s">
        <v>806</v>
      </c>
      <c r="C151" s="16" t="s">
        <v>79</v>
      </c>
      <c r="D151" s="16" t="s">
        <v>807</v>
      </c>
      <c r="E151" s="16" t="s">
        <v>333</v>
      </c>
      <c r="F151" s="16" t="s">
        <v>333</v>
      </c>
      <c r="G151" s="7" t="n">
        <v>0</v>
      </c>
      <c r="H151" s="13" t="n">
        <f aca="false">G151/23967</f>
        <v>0</v>
      </c>
      <c r="I151" s="16" t="s">
        <v>808</v>
      </c>
      <c r="J151" s="16" t="s">
        <v>335</v>
      </c>
      <c r="K151" s="16" t="s">
        <v>209</v>
      </c>
      <c r="L151" s="16" t="s">
        <v>198</v>
      </c>
      <c r="M151" s="16" t="s">
        <v>184</v>
      </c>
      <c r="N151" s="16" t="s">
        <v>498</v>
      </c>
      <c r="O151" s="16" t="s">
        <v>809</v>
      </c>
      <c r="P151" s="27" t="n">
        <v>0</v>
      </c>
    </row>
    <row r="152" customFormat="false" ht="38.25" hidden="false" customHeight="true" outlineLevel="0" collapsed="false">
      <c r="A152" s="16" t="n">
        <v>148</v>
      </c>
      <c r="B152" s="16" t="s">
        <v>810</v>
      </c>
      <c r="C152" s="16" t="s">
        <v>79</v>
      </c>
      <c r="D152" s="16" t="s">
        <v>811</v>
      </c>
      <c r="E152" s="16" t="s">
        <v>332</v>
      </c>
      <c r="F152" s="16" t="s">
        <v>333</v>
      </c>
      <c r="G152" s="7" t="n">
        <v>0</v>
      </c>
      <c r="H152" s="13" t="n">
        <f aca="false">G152/23967</f>
        <v>0</v>
      </c>
      <c r="I152" s="16"/>
      <c r="J152" s="16" t="s">
        <v>341</v>
      </c>
      <c r="K152" s="16" t="s">
        <v>213</v>
      </c>
      <c r="L152" s="16" t="s">
        <v>184</v>
      </c>
      <c r="M152" s="16" t="s">
        <v>198</v>
      </c>
      <c r="N152" s="16" t="s">
        <v>589</v>
      </c>
      <c r="O152" s="16"/>
      <c r="P152" s="27" t="n">
        <v>0</v>
      </c>
    </row>
    <row r="153" customFormat="false" ht="38.25" hidden="false" customHeight="true" outlineLevel="0" collapsed="false">
      <c r="A153" s="16" t="n">
        <v>149</v>
      </c>
      <c r="B153" s="16" t="s">
        <v>812</v>
      </c>
      <c r="C153" s="16" t="s">
        <v>79</v>
      </c>
      <c r="D153" s="16" t="s">
        <v>813</v>
      </c>
      <c r="E153" s="16" t="s">
        <v>333</v>
      </c>
      <c r="F153" s="16" t="s">
        <v>333</v>
      </c>
      <c r="G153" s="7" t="n">
        <v>0</v>
      </c>
      <c r="H153" s="13" t="n">
        <f aca="false">G153/23967</f>
        <v>0</v>
      </c>
      <c r="I153" s="16" t="s">
        <v>814</v>
      </c>
      <c r="J153" s="16" t="s">
        <v>341</v>
      </c>
      <c r="K153" s="16" t="s">
        <v>213</v>
      </c>
      <c r="L153" s="16" t="s">
        <v>184</v>
      </c>
      <c r="M153" s="16" t="s">
        <v>198</v>
      </c>
      <c r="N153" s="16" t="s">
        <v>589</v>
      </c>
      <c r="O153" s="16"/>
      <c r="P153" s="27" t="n">
        <v>0</v>
      </c>
    </row>
    <row r="154" customFormat="false" ht="38.25" hidden="false" customHeight="true" outlineLevel="0" collapsed="false">
      <c r="A154" s="16" t="n">
        <v>150</v>
      </c>
      <c r="B154" s="16" t="s">
        <v>815</v>
      </c>
      <c r="C154" s="16" t="s">
        <v>79</v>
      </c>
      <c r="D154" s="16" t="s">
        <v>816</v>
      </c>
      <c r="E154" s="16" t="s">
        <v>333</v>
      </c>
      <c r="F154" s="16" t="s">
        <v>333</v>
      </c>
      <c r="G154" s="7" t="n">
        <v>0</v>
      </c>
      <c r="H154" s="13" t="n">
        <f aca="false">G154/23967</f>
        <v>0</v>
      </c>
      <c r="I154" s="16"/>
      <c r="J154" s="16" t="s">
        <v>335</v>
      </c>
      <c r="K154" s="16" t="s">
        <v>209</v>
      </c>
      <c r="L154" s="16" t="s">
        <v>198</v>
      </c>
      <c r="M154" s="16" t="s">
        <v>184</v>
      </c>
      <c r="N154" s="16" t="s">
        <v>498</v>
      </c>
      <c r="O154" s="16"/>
      <c r="P154" s="27" t="n">
        <v>0</v>
      </c>
    </row>
    <row r="155" customFormat="false" ht="51" hidden="false" customHeight="true" outlineLevel="0" collapsed="false">
      <c r="A155" s="16" t="n">
        <v>151</v>
      </c>
      <c r="B155" s="16" t="s">
        <v>817</v>
      </c>
      <c r="C155" s="16" t="s">
        <v>79</v>
      </c>
      <c r="D155" s="16" t="s">
        <v>765</v>
      </c>
      <c r="E155" s="16" t="s">
        <v>333</v>
      </c>
      <c r="F155" s="16" t="s">
        <v>333</v>
      </c>
      <c r="G155" s="7" t="n">
        <v>0</v>
      </c>
      <c r="H155" s="13" t="n">
        <f aca="false">G155/23967</f>
        <v>0</v>
      </c>
      <c r="I155" s="16"/>
      <c r="J155" s="16" t="s">
        <v>335</v>
      </c>
      <c r="K155" s="16" t="s">
        <v>205</v>
      </c>
      <c r="L155" s="16" t="s">
        <v>196</v>
      </c>
      <c r="M155" s="16" t="s">
        <v>190</v>
      </c>
      <c r="N155" s="16" t="s">
        <v>368</v>
      </c>
      <c r="O155" s="16" t="s">
        <v>616</v>
      </c>
      <c r="P155" s="27" t="n">
        <v>0</v>
      </c>
    </row>
    <row r="156" customFormat="false" ht="38.25" hidden="false" customHeight="true" outlineLevel="0" collapsed="false">
      <c r="A156" s="16" t="n">
        <v>152</v>
      </c>
      <c r="B156" s="16" t="s">
        <v>818</v>
      </c>
      <c r="C156" s="16" t="s">
        <v>79</v>
      </c>
      <c r="D156" s="16" t="s">
        <v>819</v>
      </c>
      <c r="E156" s="16" t="s">
        <v>333</v>
      </c>
      <c r="F156" s="16" t="s">
        <v>333</v>
      </c>
      <c r="G156" s="7" t="n">
        <v>0</v>
      </c>
      <c r="H156" s="13" t="n">
        <f aca="false">G156/23967</f>
        <v>0</v>
      </c>
      <c r="I156" s="16"/>
      <c r="J156" s="16" t="s">
        <v>335</v>
      </c>
      <c r="K156" s="16" t="s">
        <v>205</v>
      </c>
      <c r="L156" s="16" t="s">
        <v>196</v>
      </c>
      <c r="M156" s="16" t="s">
        <v>190</v>
      </c>
      <c r="N156" s="16" t="s">
        <v>368</v>
      </c>
      <c r="O156" s="16"/>
      <c r="P156" s="27" t="n">
        <v>0</v>
      </c>
    </row>
    <row r="157" customFormat="false" ht="38.25" hidden="false" customHeight="true" outlineLevel="0" collapsed="false">
      <c r="A157" s="16" t="n">
        <v>153</v>
      </c>
      <c r="B157" s="16" t="s">
        <v>820</v>
      </c>
      <c r="C157" s="16" t="s">
        <v>79</v>
      </c>
      <c r="D157" s="16" t="s">
        <v>821</v>
      </c>
      <c r="E157" s="16" t="s">
        <v>333</v>
      </c>
      <c r="F157" s="16" t="s">
        <v>333</v>
      </c>
      <c r="G157" s="7" t="n">
        <v>0</v>
      </c>
      <c r="H157" s="13" t="n">
        <f aca="false">G157/23967</f>
        <v>0</v>
      </c>
      <c r="I157" s="16"/>
      <c r="J157" s="16" t="s">
        <v>335</v>
      </c>
      <c r="K157" s="16" t="s">
        <v>205</v>
      </c>
      <c r="L157" s="16" t="s">
        <v>196</v>
      </c>
      <c r="M157" s="16" t="s">
        <v>190</v>
      </c>
      <c r="N157" s="16" t="s">
        <v>368</v>
      </c>
      <c r="O157" s="16"/>
      <c r="P157" s="27" t="n">
        <v>0</v>
      </c>
    </row>
    <row r="158" customFormat="false" ht="38.25" hidden="false" customHeight="true" outlineLevel="0" collapsed="false">
      <c r="A158" s="16" t="n">
        <v>154</v>
      </c>
      <c r="B158" s="16" t="s">
        <v>822</v>
      </c>
      <c r="C158" s="16" t="s">
        <v>79</v>
      </c>
      <c r="D158" s="16" t="s">
        <v>823</v>
      </c>
      <c r="E158" s="16" t="s">
        <v>333</v>
      </c>
      <c r="F158" s="16" t="s">
        <v>333</v>
      </c>
      <c r="G158" s="7" t="n">
        <v>0</v>
      </c>
      <c r="H158" s="13" t="n">
        <f aca="false">G158/23967</f>
        <v>0</v>
      </c>
      <c r="I158" s="16"/>
      <c r="J158" s="16" t="s">
        <v>335</v>
      </c>
      <c r="K158" s="16" t="s">
        <v>205</v>
      </c>
      <c r="L158" s="16" t="s">
        <v>196</v>
      </c>
      <c r="M158" s="16" t="s">
        <v>190</v>
      </c>
      <c r="N158" s="16" t="s">
        <v>368</v>
      </c>
      <c r="O158" s="16"/>
      <c r="P158" s="27" t="n">
        <v>0</v>
      </c>
    </row>
    <row r="159" customFormat="false" ht="51" hidden="false" customHeight="true" outlineLevel="0" collapsed="false">
      <c r="A159" s="16" t="n">
        <v>155</v>
      </c>
      <c r="B159" s="16" t="s">
        <v>824</v>
      </c>
      <c r="C159" s="16" t="s">
        <v>79</v>
      </c>
      <c r="D159" s="16" t="s">
        <v>825</v>
      </c>
      <c r="E159" s="16" t="s">
        <v>333</v>
      </c>
      <c r="F159" s="16" t="s">
        <v>333</v>
      </c>
      <c r="G159" s="7" t="n">
        <v>0</v>
      </c>
      <c r="H159" s="13" t="n">
        <f aca="false">G159/23967</f>
        <v>0</v>
      </c>
      <c r="I159" s="16"/>
      <c r="J159" s="16" t="s">
        <v>335</v>
      </c>
      <c r="K159" s="16" t="s">
        <v>207</v>
      </c>
      <c r="L159" s="16" t="s">
        <v>182</v>
      </c>
      <c r="M159" s="16" t="s">
        <v>471</v>
      </c>
      <c r="N159" s="16" t="s">
        <v>472</v>
      </c>
      <c r="O159" s="16"/>
      <c r="P159" s="27" t="n">
        <v>0</v>
      </c>
    </row>
    <row r="160" customFormat="false" ht="38.25" hidden="false" customHeight="true" outlineLevel="0" collapsed="false">
      <c r="A160" s="16" t="n">
        <v>156</v>
      </c>
      <c r="B160" s="16" t="s">
        <v>826</v>
      </c>
      <c r="C160" s="16" t="s">
        <v>79</v>
      </c>
      <c r="D160" s="16" t="s">
        <v>827</v>
      </c>
      <c r="E160" s="16" t="s">
        <v>333</v>
      </c>
      <c r="F160" s="16" t="s">
        <v>333</v>
      </c>
      <c r="G160" s="7" t="n">
        <v>0</v>
      </c>
      <c r="H160" s="13" t="n">
        <f aca="false">G160/23967</f>
        <v>0</v>
      </c>
      <c r="I160" s="16" t="s">
        <v>828</v>
      </c>
      <c r="J160" s="16" t="s">
        <v>335</v>
      </c>
      <c r="K160" s="16" t="s">
        <v>207</v>
      </c>
      <c r="L160" s="16" t="s">
        <v>182</v>
      </c>
      <c r="M160" s="16" t="s">
        <v>471</v>
      </c>
      <c r="N160" s="16" t="s">
        <v>472</v>
      </c>
      <c r="O160" s="16"/>
      <c r="P160" s="27" t="n">
        <v>0</v>
      </c>
    </row>
    <row r="161" customFormat="false" ht="38.25" hidden="false" customHeight="true" outlineLevel="0" collapsed="false">
      <c r="A161" s="16" t="n">
        <v>157</v>
      </c>
      <c r="B161" s="16" t="s">
        <v>829</v>
      </c>
      <c r="C161" s="16" t="s">
        <v>79</v>
      </c>
      <c r="D161" s="16" t="s">
        <v>830</v>
      </c>
      <c r="E161" s="16" t="s">
        <v>333</v>
      </c>
      <c r="F161" s="16" t="s">
        <v>333</v>
      </c>
      <c r="G161" s="7" t="n">
        <v>0</v>
      </c>
      <c r="H161" s="13" t="n">
        <f aca="false">G161/23967</f>
        <v>0</v>
      </c>
      <c r="I161" s="16"/>
      <c r="J161" s="16" t="s">
        <v>335</v>
      </c>
      <c r="K161" s="16" t="s">
        <v>207</v>
      </c>
      <c r="L161" s="16" t="s">
        <v>182</v>
      </c>
      <c r="M161" s="16" t="s">
        <v>471</v>
      </c>
      <c r="N161" s="16" t="s">
        <v>472</v>
      </c>
      <c r="O161" s="16" t="s">
        <v>803</v>
      </c>
      <c r="P161" s="27" t="n">
        <v>0</v>
      </c>
    </row>
    <row r="162" customFormat="false" ht="38.25" hidden="false" customHeight="true" outlineLevel="0" collapsed="false">
      <c r="A162" s="16" t="n">
        <v>158</v>
      </c>
      <c r="B162" s="16" t="s">
        <v>831</v>
      </c>
      <c r="C162" s="16" t="s">
        <v>79</v>
      </c>
      <c r="D162" s="16" t="s">
        <v>832</v>
      </c>
      <c r="E162" s="16" t="s">
        <v>333</v>
      </c>
      <c r="F162" s="16" t="s">
        <v>333</v>
      </c>
      <c r="G162" s="7" t="n">
        <v>0</v>
      </c>
      <c r="H162" s="13" t="n">
        <f aca="false">G162/23967</f>
        <v>0</v>
      </c>
      <c r="I162" s="16"/>
      <c r="J162" s="16" t="s">
        <v>335</v>
      </c>
      <c r="K162" s="16" t="s">
        <v>207</v>
      </c>
      <c r="L162" s="16" t="s">
        <v>182</v>
      </c>
      <c r="M162" s="16" t="s">
        <v>471</v>
      </c>
      <c r="N162" s="16" t="s">
        <v>472</v>
      </c>
      <c r="O162" s="16"/>
      <c r="P162" s="27" t="n">
        <v>0</v>
      </c>
    </row>
    <row r="163" customFormat="false" ht="51" hidden="false" customHeight="true" outlineLevel="0" collapsed="false">
      <c r="A163" s="16" t="n">
        <v>159</v>
      </c>
      <c r="B163" s="16" t="s">
        <v>833</v>
      </c>
      <c r="C163" s="16" t="s">
        <v>79</v>
      </c>
      <c r="D163" s="16" t="s">
        <v>554</v>
      </c>
      <c r="E163" s="16" t="s">
        <v>332</v>
      </c>
      <c r="F163" s="16" t="s">
        <v>333</v>
      </c>
      <c r="G163" s="7" t="n">
        <v>0</v>
      </c>
      <c r="H163" s="13" t="n">
        <f aca="false">G163/23967</f>
        <v>0</v>
      </c>
      <c r="I163" s="16"/>
      <c r="J163" s="16" t="s">
        <v>335</v>
      </c>
      <c r="K163" s="16" t="s">
        <v>207</v>
      </c>
      <c r="L163" s="16" t="s">
        <v>182</v>
      </c>
      <c r="M163" s="16" t="s">
        <v>357</v>
      </c>
      <c r="N163" s="16" t="s">
        <v>358</v>
      </c>
      <c r="O163" s="16"/>
      <c r="P163" s="27" t="n">
        <v>0</v>
      </c>
    </row>
    <row r="164" customFormat="false" ht="51" hidden="false" customHeight="true" outlineLevel="0" collapsed="false">
      <c r="A164" s="16" t="n">
        <v>160</v>
      </c>
      <c r="B164" s="16" t="s">
        <v>834</v>
      </c>
      <c r="C164" s="16" t="s">
        <v>79</v>
      </c>
      <c r="D164" s="16" t="s">
        <v>835</v>
      </c>
      <c r="E164" s="16" t="s">
        <v>333</v>
      </c>
      <c r="F164" s="16" t="s">
        <v>333</v>
      </c>
      <c r="G164" s="7" t="n">
        <v>0</v>
      </c>
      <c r="H164" s="13" t="n">
        <f aca="false">G164/23967</f>
        <v>0</v>
      </c>
      <c r="I164" s="16"/>
      <c r="J164" s="16" t="s">
        <v>335</v>
      </c>
      <c r="K164" s="16" t="s">
        <v>205</v>
      </c>
      <c r="L164" s="16" t="s">
        <v>196</v>
      </c>
      <c r="M164" s="16" t="s">
        <v>190</v>
      </c>
      <c r="N164" s="16" t="s">
        <v>368</v>
      </c>
      <c r="O164" s="16" t="s">
        <v>836</v>
      </c>
      <c r="P164" s="27" t="n">
        <v>0</v>
      </c>
    </row>
    <row r="165" customFormat="false" ht="38.25" hidden="false" customHeight="true" outlineLevel="0" collapsed="false">
      <c r="A165" s="16" t="n">
        <v>161</v>
      </c>
      <c r="B165" s="16" t="s">
        <v>837</v>
      </c>
      <c r="C165" s="16" t="s">
        <v>79</v>
      </c>
      <c r="D165" s="16" t="s">
        <v>838</v>
      </c>
      <c r="E165" s="16" t="s">
        <v>333</v>
      </c>
      <c r="F165" s="16" t="s">
        <v>333</v>
      </c>
      <c r="G165" s="7" t="n">
        <v>0</v>
      </c>
      <c r="H165" s="13" t="n">
        <f aca="false">G165/23967</f>
        <v>0</v>
      </c>
      <c r="I165" s="16"/>
      <c r="J165" s="16" t="s">
        <v>335</v>
      </c>
      <c r="K165" s="16" t="s">
        <v>205</v>
      </c>
      <c r="L165" s="16" t="s">
        <v>196</v>
      </c>
      <c r="M165" s="16" t="s">
        <v>190</v>
      </c>
      <c r="N165" s="16" t="s">
        <v>368</v>
      </c>
      <c r="O165" s="16"/>
      <c r="P165" s="27" t="n">
        <v>0</v>
      </c>
    </row>
    <row r="166" customFormat="false" ht="51" hidden="false" customHeight="true" outlineLevel="0" collapsed="false">
      <c r="A166" s="16" t="n">
        <v>162</v>
      </c>
      <c r="B166" s="16" t="s">
        <v>839</v>
      </c>
      <c r="C166" s="16" t="s">
        <v>81</v>
      </c>
      <c r="D166" s="16" t="s">
        <v>840</v>
      </c>
      <c r="E166" s="16" t="s">
        <v>333</v>
      </c>
      <c r="F166" s="16" t="s">
        <v>333</v>
      </c>
      <c r="G166" s="7" t="n">
        <v>0</v>
      </c>
      <c r="H166" s="13" t="n">
        <f aca="false">G166/23967</f>
        <v>0</v>
      </c>
      <c r="I166" s="16"/>
      <c r="J166" s="16" t="s">
        <v>335</v>
      </c>
      <c r="K166" s="16" t="s">
        <v>211</v>
      </c>
      <c r="L166" s="16" t="s">
        <v>186</v>
      </c>
      <c r="M166" s="16" t="s">
        <v>336</v>
      </c>
      <c r="N166" s="16" t="s">
        <v>373</v>
      </c>
      <c r="O166" s="16"/>
      <c r="P166" s="27" t="n">
        <v>0</v>
      </c>
    </row>
    <row r="167" customFormat="false" ht="51" hidden="false" customHeight="true" outlineLevel="0" collapsed="false">
      <c r="A167" s="16" t="n">
        <v>163</v>
      </c>
      <c r="B167" s="16" t="s">
        <v>841</v>
      </c>
      <c r="C167" s="16" t="s">
        <v>81</v>
      </c>
      <c r="D167" s="16" t="s">
        <v>560</v>
      </c>
      <c r="E167" s="16" t="s">
        <v>333</v>
      </c>
      <c r="F167" s="16" t="s">
        <v>333</v>
      </c>
      <c r="G167" s="7" t="n">
        <v>0</v>
      </c>
      <c r="H167" s="13" t="n">
        <f aca="false">G167/23967</f>
        <v>0</v>
      </c>
      <c r="I167" s="16"/>
      <c r="J167" s="16" t="s">
        <v>335</v>
      </c>
      <c r="K167" s="16" t="s">
        <v>211</v>
      </c>
      <c r="L167" s="16" t="s">
        <v>186</v>
      </c>
      <c r="M167" s="16" t="s">
        <v>336</v>
      </c>
      <c r="N167" s="16" t="s">
        <v>373</v>
      </c>
      <c r="O167" s="16"/>
      <c r="P167" s="27" t="n">
        <v>0</v>
      </c>
    </row>
    <row r="168" customFormat="false" ht="51" hidden="false" customHeight="true" outlineLevel="0" collapsed="false">
      <c r="A168" s="16" t="n">
        <v>164</v>
      </c>
      <c r="B168" s="16" t="s">
        <v>842</v>
      </c>
      <c r="C168" s="16" t="s">
        <v>81</v>
      </c>
      <c r="D168" s="16" t="s">
        <v>843</v>
      </c>
      <c r="E168" s="16" t="s">
        <v>332</v>
      </c>
      <c r="F168" s="16" t="s">
        <v>333</v>
      </c>
      <c r="G168" s="7" t="n">
        <v>0</v>
      </c>
      <c r="H168" s="13" t="n">
        <f aca="false">G168/23967</f>
        <v>0</v>
      </c>
      <c r="I168" s="16"/>
      <c r="J168" s="16" t="s">
        <v>335</v>
      </c>
      <c r="K168" s="16" t="s">
        <v>207</v>
      </c>
      <c r="L168" s="16" t="s">
        <v>182</v>
      </c>
      <c r="M168" s="16" t="s">
        <v>357</v>
      </c>
      <c r="N168" s="16" t="s">
        <v>358</v>
      </c>
      <c r="O168" s="16"/>
      <c r="P168" s="27" t="n">
        <v>0</v>
      </c>
    </row>
    <row r="169" customFormat="false" ht="38.25" hidden="false" customHeight="true" outlineLevel="0" collapsed="false">
      <c r="A169" s="16" t="n">
        <v>165</v>
      </c>
      <c r="B169" s="16" t="s">
        <v>844</v>
      </c>
      <c r="C169" s="16" t="s">
        <v>81</v>
      </c>
      <c r="D169" s="16" t="s">
        <v>844</v>
      </c>
      <c r="E169" s="16" t="s">
        <v>333</v>
      </c>
      <c r="F169" s="16" t="s">
        <v>333</v>
      </c>
      <c r="G169" s="7" t="n">
        <v>0</v>
      </c>
      <c r="H169" s="13" t="n">
        <f aca="false">G169/23967</f>
        <v>0</v>
      </c>
      <c r="I169" s="16" t="s">
        <v>845</v>
      </c>
      <c r="J169" s="16" t="s">
        <v>335</v>
      </c>
      <c r="K169" s="16" t="s">
        <v>211</v>
      </c>
      <c r="L169" s="16" t="s">
        <v>186</v>
      </c>
      <c r="M169" s="16" t="s">
        <v>336</v>
      </c>
      <c r="N169" s="16" t="s">
        <v>373</v>
      </c>
      <c r="O169" s="16" t="s">
        <v>502</v>
      </c>
      <c r="P169" s="27" t="n">
        <v>0</v>
      </c>
    </row>
    <row r="170" customFormat="false" ht="38.25" hidden="false" customHeight="true" outlineLevel="0" collapsed="false">
      <c r="A170" s="16" t="n">
        <v>166</v>
      </c>
      <c r="B170" s="16" t="s">
        <v>846</v>
      </c>
      <c r="C170" s="16" t="s">
        <v>81</v>
      </c>
      <c r="D170" s="16" t="s">
        <v>847</v>
      </c>
      <c r="E170" s="16" t="s">
        <v>333</v>
      </c>
      <c r="F170" s="16" t="s">
        <v>333</v>
      </c>
      <c r="G170" s="7" t="n">
        <v>0</v>
      </c>
      <c r="H170" s="13" t="n">
        <f aca="false">G170/23967</f>
        <v>0</v>
      </c>
      <c r="I170" s="16"/>
      <c r="J170" s="16" t="s">
        <v>335</v>
      </c>
      <c r="K170" s="16" t="s">
        <v>211</v>
      </c>
      <c r="L170" s="16" t="s">
        <v>186</v>
      </c>
      <c r="M170" s="16" t="s">
        <v>336</v>
      </c>
      <c r="N170" s="16" t="s">
        <v>373</v>
      </c>
      <c r="O170" s="16"/>
      <c r="P170" s="27" t="n">
        <v>0</v>
      </c>
    </row>
    <row r="171" customFormat="false" ht="51" hidden="false" customHeight="true" outlineLevel="0" collapsed="false">
      <c r="A171" s="16" t="n">
        <v>167</v>
      </c>
      <c r="B171" s="16" t="s">
        <v>848</v>
      </c>
      <c r="C171" s="16" t="s">
        <v>81</v>
      </c>
      <c r="D171" s="16" t="s">
        <v>849</v>
      </c>
      <c r="E171" s="16" t="s">
        <v>333</v>
      </c>
      <c r="F171" s="16" t="s">
        <v>333</v>
      </c>
      <c r="G171" s="7" t="n">
        <v>0</v>
      </c>
      <c r="H171" s="13" t="n">
        <f aca="false">G171/23967</f>
        <v>0</v>
      </c>
      <c r="I171" s="16" t="s">
        <v>850</v>
      </c>
      <c r="J171" s="16" t="s">
        <v>341</v>
      </c>
      <c r="K171" s="16" t="s">
        <v>213</v>
      </c>
      <c r="L171" s="16" t="s">
        <v>184</v>
      </c>
      <c r="M171" s="16" t="s">
        <v>396</v>
      </c>
      <c r="N171" s="16" t="s">
        <v>397</v>
      </c>
      <c r="O171" s="16" t="s">
        <v>851</v>
      </c>
      <c r="P171" s="27" t="n">
        <v>0</v>
      </c>
    </row>
    <row r="172" customFormat="false" ht="38.25" hidden="false" customHeight="true" outlineLevel="0" collapsed="false">
      <c r="A172" s="16" t="n">
        <v>168</v>
      </c>
      <c r="B172" s="16" t="s">
        <v>852</v>
      </c>
      <c r="C172" s="16" t="s">
        <v>81</v>
      </c>
      <c r="D172" s="16" t="s">
        <v>852</v>
      </c>
      <c r="E172" s="16" t="s">
        <v>333</v>
      </c>
      <c r="F172" s="16" t="s">
        <v>333</v>
      </c>
      <c r="G172" s="7" t="n">
        <v>0</v>
      </c>
      <c r="H172" s="13" t="n">
        <f aca="false">G172/23967</f>
        <v>0</v>
      </c>
      <c r="I172" s="16" t="s">
        <v>853</v>
      </c>
      <c r="J172" s="16" t="s">
        <v>335</v>
      </c>
      <c r="K172" s="16" t="s">
        <v>211</v>
      </c>
      <c r="L172" s="16" t="s">
        <v>186</v>
      </c>
      <c r="M172" s="16" t="s">
        <v>336</v>
      </c>
      <c r="N172" s="16" t="s">
        <v>373</v>
      </c>
      <c r="O172" s="16"/>
      <c r="P172" s="27" t="n">
        <v>0</v>
      </c>
    </row>
    <row r="173" customFormat="false" ht="25.5" hidden="false" customHeight="true" outlineLevel="0" collapsed="false">
      <c r="A173" s="16" t="n">
        <v>169</v>
      </c>
      <c r="B173" s="16" t="s">
        <v>854</v>
      </c>
      <c r="C173" s="16" t="s">
        <v>81</v>
      </c>
      <c r="D173" s="16" t="s">
        <v>854</v>
      </c>
      <c r="E173" s="16" t="s">
        <v>333</v>
      </c>
      <c r="F173" s="16" t="s">
        <v>333</v>
      </c>
      <c r="G173" s="7" t="n">
        <v>0</v>
      </c>
      <c r="H173" s="13" t="n">
        <f aca="false">G173/23967</f>
        <v>0</v>
      </c>
      <c r="I173" s="16" t="s">
        <v>855</v>
      </c>
      <c r="J173" s="16" t="s">
        <v>335</v>
      </c>
      <c r="K173" s="16" t="s">
        <v>211</v>
      </c>
      <c r="L173" s="16" t="s">
        <v>186</v>
      </c>
      <c r="M173" s="16" t="s">
        <v>336</v>
      </c>
      <c r="N173" s="16" t="s">
        <v>373</v>
      </c>
      <c r="O173" s="16"/>
      <c r="P173" s="27" t="n">
        <v>0</v>
      </c>
    </row>
    <row r="174" customFormat="false" ht="25.5" hidden="false" customHeight="true" outlineLevel="0" collapsed="false">
      <c r="A174" s="16" t="n">
        <v>170</v>
      </c>
      <c r="B174" s="16" t="s">
        <v>856</v>
      </c>
      <c r="C174" s="16" t="s">
        <v>81</v>
      </c>
      <c r="D174" s="16" t="s">
        <v>857</v>
      </c>
      <c r="E174" s="16" t="s">
        <v>332</v>
      </c>
      <c r="F174" s="16" t="s">
        <v>333</v>
      </c>
      <c r="G174" s="7" t="n">
        <v>0</v>
      </c>
      <c r="H174" s="13" t="n">
        <f aca="false">G174/23967</f>
        <v>0</v>
      </c>
      <c r="I174" s="16"/>
      <c r="J174" s="16" t="s">
        <v>341</v>
      </c>
      <c r="K174" s="16" t="s">
        <v>213</v>
      </c>
      <c r="L174" s="16" t="s">
        <v>184</v>
      </c>
      <c r="M174" s="16" t="s">
        <v>545</v>
      </c>
      <c r="N174" s="16" t="s">
        <v>546</v>
      </c>
      <c r="O174" s="16"/>
      <c r="P174" s="27" t="n">
        <v>0</v>
      </c>
    </row>
    <row r="175" customFormat="false" ht="25.5" hidden="false" customHeight="true" outlineLevel="0" collapsed="false">
      <c r="A175" s="16" t="n">
        <v>171</v>
      </c>
      <c r="B175" s="16" t="s">
        <v>858</v>
      </c>
      <c r="C175" s="16" t="s">
        <v>81</v>
      </c>
      <c r="D175" s="16" t="s">
        <v>859</v>
      </c>
      <c r="E175" s="16" t="s">
        <v>332</v>
      </c>
      <c r="F175" s="16" t="s">
        <v>333</v>
      </c>
      <c r="G175" s="7" t="n">
        <v>0</v>
      </c>
      <c r="H175" s="13" t="n">
        <f aca="false">G175/23967</f>
        <v>0</v>
      </c>
      <c r="I175" s="16"/>
      <c r="J175" s="16" t="s">
        <v>341</v>
      </c>
      <c r="K175" s="16" t="s">
        <v>213</v>
      </c>
      <c r="L175" s="16" t="s">
        <v>184</v>
      </c>
      <c r="M175" s="16" t="s">
        <v>545</v>
      </c>
      <c r="N175" s="16" t="s">
        <v>546</v>
      </c>
      <c r="O175" s="16"/>
      <c r="P175" s="27" t="n">
        <v>0</v>
      </c>
    </row>
    <row r="176" customFormat="false" ht="25.5" hidden="false" customHeight="true" outlineLevel="0" collapsed="false">
      <c r="A176" s="16" t="n">
        <v>172</v>
      </c>
      <c r="B176" s="16" t="s">
        <v>860</v>
      </c>
      <c r="C176" s="16" t="s">
        <v>81</v>
      </c>
      <c r="D176" s="16" t="s">
        <v>861</v>
      </c>
      <c r="E176" s="16" t="s">
        <v>332</v>
      </c>
      <c r="F176" s="16" t="s">
        <v>333</v>
      </c>
      <c r="G176" s="7" t="n">
        <v>0</v>
      </c>
      <c r="H176" s="13" t="n">
        <f aca="false">G176/23967</f>
        <v>0</v>
      </c>
      <c r="I176" s="16"/>
      <c r="J176" s="16" t="s">
        <v>341</v>
      </c>
      <c r="K176" s="16" t="s">
        <v>213</v>
      </c>
      <c r="L176" s="16" t="s">
        <v>184</v>
      </c>
      <c r="M176" s="16" t="s">
        <v>545</v>
      </c>
      <c r="N176" s="16" t="s">
        <v>546</v>
      </c>
      <c r="O176" s="16"/>
      <c r="P176" s="27" t="n">
        <v>0</v>
      </c>
    </row>
    <row r="177" customFormat="false" ht="51" hidden="false" customHeight="true" outlineLevel="0" collapsed="false">
      <c r="A177" s="16" t="n">
        <v>173</v>
      </c>
      <c r="B177" s="16" t="s">
        <v>862</v>
      </c>
      <c r="C177" s="16" t="s">
        <v>81</v>
      </c>
      <c r="D177" s="16" t="s">
        <v>863</v>
      </c>
      <c r="E177" s="16" t="s">
        <v>332</v>
      </c>
      <c r="F177" s="16" t="s">
        <v>333</v>
      </c>
      <c r="G177" s="7" t="n">
        <v>0</v>
      </c>
      <c r="H177" s="13" t="n">
        <f aca="false">G177/23967</f>
        <v>0</v>
      </c>
      <c r="I177" s="16"/>
      <c r="J177" s="16" t="s">
        <v>341</v>
      </c>
      <c r="K177" s="16" t="s">
        <v>213</v>
      </c>
      <c r="L177" s="16" t="s">
        <v>184</v>
      </c>
      <c r="M177" s="16" t="s">
        <v>545</v>
      </c>
      <c r="N177" s="16" t="s">
        <v>546</v>
      </c>
      <c r="O177" s="16"/>
      <c r="P177" s="27" t="n">
        <v>0</v>
      </c>
    </row>
    <row r="178" customFormat="false" ht="25.5" hidden="false" customHeight="true" outlineLevel="0" collapsed="false">
      <c r="A178" s="16" t="n">
        <v>174</v>
      </c>
      <c r="B178" s="16" t="s">
        <v>864</v>
      </c>
      <c r="C178" s="16" t="s">
        <v>81</v>
      </c>
      <c r="D178" s="16" t="s">
        <v>543</v>
      </c>
      <c r="E178" s="16" t="s">
        <v>332</v>
      </c>
      <c r="F178" s="16" t="s">
        <v>333</v>
      </c>
      <c r="G178" s="7" t="n">
        <v>0</v>
      </c>
      <c r="H178" s="13" t="n">
        <f aca="false">G178/23967</f>
        <v>0</v>
      </c>
      <c r="I178" s="16"/>
      <c r="J178" s="16" t="s">
        <v>341</v>
      </c>
      <c r="K178" s="16" t="s">
        <v>213</v>
      </c>
      <c r="L178" s="16" t="s">
        <v>184</v>
      </c>
      <c r="M178" s="16" t="s">
        <v>545</v>
      </c>
      <c r="N178" s="16" t="s">
        <v>546</v>
      </c>
      <c r="O178" s="16"/>
      <c r="P178" s="27" t="n">
        <v>0</v>
      </c>
    </row>
    <row r="179" customFormat="false" ht="25.5" hidden="false" customHeight="true" outlineLevel="0" collapsed="false">
      <c r="A179" s="16" t="n">
        <v>175</v>
      </c>
      <c r="B179" s="16" t="s">
        <v>865</v>
      </c>
      <c r="C179" s="16" t="s">
        <v>81</v>
      </c>
      <c r="D179" s="16" t="s">
        <v>866</v>
      </c>
      <c r="E179" s="16" t="s">
        <v>332</v>
      </c>
      <c r="F179" s="16" t="s">
        <v>333</v>
      </c>
      <c r="G179" s="7" t="n">
        <v>0</v>
      </c>
      <c r="H179" s="13" t="n">
        <f aca="false">G179/23967</f>
        <v>0</v>
      </c>
      <c r="I179" s="16"/>
      <c r="J179" s="16" t="s">
        <v>341</v>
      </c>
      <c r="K179" s="16" t="s">
        <v>213</v>
      </c>
      <c r="L179" s="16" t="s">
        <v>184</v>
      </c>
      <c r="M179" s="16" t="s">
        <v>545</v>
      </c>
      <c r="N179" s="16" t="s">
        <v>546</v>
      </c>
      <c r="O179" s="16"/>
      <c r="P179" s="27" t="n">
        <v>0</v>
      </c>
    </row>
    <row r="180" customFormat="false" ht="25.5" hidden="false" customHeight="true" outlineLevel="0" collapsed="false">
      <c r="A180" s="16" t="n">
        <v>176</v>
      </c>
      <c r="B180" s="16" t="s">
        <v>867</v>
      </c>
      <c r="C180" s="16" t="s">
        <v>83</v>
      </c>
      <c r="D180" s="16" t="s">
        <v>868</v>
      </c>
      <c r="E180" s="16" t="s">
        <v>333</v>
      </c>
      <c r="F180" s="16" t="s">
        <v>333</v>
      </c>
      <c r="G180" s="7" t="n">
        <v>0</v>
      </c>
      <c r="H180" s="13" t="n">
        <f aca="false">G180/23967</f>
        <v>0</v>
      </c>
      <c r="I180" s="16"/>
      <c r="J180" s="16" t="s">
        <v>335</v>
      </c>
      <c r="K180" s="16" t="s">
        <v>211</v>
      </c>
      <c r="L180" s="16" t="s">
        <v>188</v>
      </c>
      <c r="M180" s="16" t="s">
        <v>336</v>
      </c>
      <c r="N180" s="16" t="s">
        <v>479</v>
      </c>
      <c r="O180" s="16"/>
      <c r="P180" s="27" t="n">
        <v>0</v>
      </c>
    </row>
    <row r="181" customFormat="false" ht="25.5" hidden="false" customHeight="true" outlineLevel="0" collapsed="false">
      <c r="A181" s="16" t="n">
        <v>177</v>
      </c>
      <c r="B181" s="16" t="s">
        <v>869</v>
      </c>
      <c r="C181" s="16" t="s">
        <v>83</v>
      </c>
      <c r="D181" s="16" t="s">
        <v>870</v>
      </c>
      <c r="E181" s="16" t="s">
        <v>333</v>
      </c>
      <c r="F181" s="16" t="s">
        <v>333</v>
      </c>
      <c r="G181" s="7" t="n">
        <v>0</v>
      </c>
      <c r="H181" s="13" t="n">
        <f aca="false">G181/23967</f>
        <v>0</v>
      </c>
      <c r="I181" s="16"/>
      <c r="J181" s="16" t="s">
        <v>335</v>
      </c>
      <c r="K181" s="16" t="s">
        <v>211</v>
      </c>
      <c r="L181" s="16" t="s">
        <v>188</v>
      </c>
      <c r="M181" s="16" t="s">
        <v>336</v>
      </c>
      <c r="N181" s="16" t="s">
        <v>337</v>
      </c>
      <c r="O181" s="16"/>
      <c r="P181" s="27" t="n">
        <v>0</v>
      </c>
    </row>
    <row r="182" customFormat="false" ht="25.5" hidden="false" customHeight="true" outlineLevel="0" collapsed="false">
      <c r="A182" s="16" t="n">
        <v>178</v>
      </c>
      <c r="B182" s="16" t="s">
        <v>871</v>
      </c>
      <c r="C182" s="16" t="s">
        <v>83</v>
      </c>
      <c r="D182" s="16" t="s">
        <v>872</v>
      </c>
      <c r="E182" s="16" t="s">
        <v>333</v>
      </c>
      <c r="F182" s="16" t="s">
        <v>333</v>
      </c>
      <c r="G182" s="7" t="n">
        <v>0</v>
      </c>
      <c r="H182" s="13" t="n">
        <f aca="false">G182/23967</f>
        <v>0</v>
      </c>
      <c r="I182" s="16" t="s">
        <v>873</v>
      </c>
      <c r="J182" s="16" t="s">
        <v>335</v>
      </c>
      <c r="K182" s="16" t="s">
        <v>205</v>
      </c>
      <c r="L182" s="16" t="s">
        <v>196</v>
      </c>
      <c r="M182" s="16" t="s">
        <v>190</v>
      </c>
      <c r="N182" s="16" t="s">
        <v>368</v>
      </c>
      <c r="O182" s="16"/>
      <c r="P182" s="27" t="n">
        <v>0</v>
      </c>
    </row>
    <row r="183" customFormat="false" ht="25.5" hidden="false" customHeight="true" outlineLevel="0" collapsed="false">
      <c r="A183" s="16" t="n">
        <v>179</v>
      </c>
      <c r="B183" s="16" t="s">
        <v>874</v>
      </c>
      <c r="C183" s="16" t="s">
        <v>83</v>
      </c>
      <c r="D183" s="16" t="s">
        <v>875</v>
      </c>
      <c r="E183" s="16" t="s">
        <v>333</v>
      </c>
      <c r="F183" s="16" t="s">
        <v>333</v>
      </c>
      <c r="G183" s="7" t="n">
        <v>0</v>
      </c>
      <c r="H183" s="13" t="n">
        <f aca="false">G183/23967</f>
        <v>0</v>
      </c>
      <c r="I183" s="16"/>
      <c r="J183" s="16" t="s">
        <v>341</v>
      </c>
      <c r="K183" s="16" t="s">
        <v>213</v>
      </c>
      <c r="L183" s="16" t="s">
        <v>184</v>
      </c>
      <c r="M183" s="16" t="s">
        <v>396</v>
      </c>
      <c r="N183" s="16" t="s">
        <v>397</v>
      </c>
      <c r="O183" s="16" t="s">
        <v>876</v>
      </c>
      <c r="P183" s="27" t="n">
        <v>0</v>
      </c>
    </row>
    <row r="184" customFormat="false" ht="25.5" hidden="false" customHeight="true" outlineLevel="0" collapsed="false">
      <c r="A184" s="16" t="n">
        <v>180</v>
      </c>
      <c r="B184" s="16" t="s">
        <v>877</v>
      </c>
      <c r="C184" s="16" t="s">
        <v>83</v>
      </c>
      <c r="D184" s="16" t="s">
        <v>878</v>
      </c>
      <c r="E184" s="16" t="s">
        <v>333</v>
      </c>
      <c r="F184" s="16" t="s">
        <v>333</v>
      </c>
      <c r="G184" s="7" t="n">
        <v>0</v>
      </c>
      <c r="H184" s="13" t="n">
        <f aca="false">G184/23967</f>
        <v>0</v>
      </c>
      <c r="I184" s="16"/>
      <c r="J184" s="16" t="s">
        <v>335</v>
      </c>
      <c r="K184" s="16" t="s">
        <v>205</v>
      </c>
      <c r="L184" s="16" t="s">
        <v>196</v>
      </c>
      <c r="M184" s="16" t="s">
        <v>190</v>
      </c>
      <c r="N184" s="16" t="s">
        <v>368</v>
      </c>
      <c r="O184" s="16"/>
      <c r="P184" s="27" t="n">
        <v>0</v>
      </c>
    </row>
    <row r="185" customFormat="false" ht="25.5" hidden="false" customHeight="true" outlineLevel="0" collapsed="false">
      <c r="A185" s="16" t="n">
        <v>181</v>
      </c>
      <c r="B185" s="16" t="s">
        <v>879</v>
      </c>
      <c r="C185" s="16" t="s">
        <v>83</v>
      </c>
      <c r="D185" s="16" t="s">
        <v>880</v>
      </c>
      <c r="E185" s="16" t="s">
        <v>333</v>
      </c>
      <c r="F185" s="16" t="s">
        <v>333</v>
      </c>
      <c r="G185" s="7" t="n">
        <v>0</v>
      </c>
      <c r="H185" s="13" t="n">
        <f aca="false">G185/23967</f>
        <v>0</v>
      </c>
      <c r="I185" s="16"/>
      <c r="J185" s="16" t="s">
        <v>335</v>
      </c>
      <c r="K185" s="16" t="s">
        <v>211</v>
      </c>
      <c r="L185" s="16" t="s">
        <v>188</v>
      </c>
      <c r="M185" s="16" t="s">
        <v>336</v>
      </c>
      <c r="N185" s="16" t="s">
        <v>479</v>
      </c>
      <c r="O185" s="16"/>
      <c r="P185" s="27" t="n">
        <v>0</v>
      </c>
    </row>
    <row r="186" customFormat="false" ht="25.5" hidden="false" customHeight="true" outlineLevel="0" collapsed="false">
      <c r="A186" s="16" t="n">
        <v>182</v>
      </c>
      <c r="B186" s="16" t="s">
        <v>881</v>
      </c>
      <c r="C186" s="16" t="s">
        <v>83</v>
      </c>
      <c r="D186" s="16" t="s">
        <v>840</v>
      </c>
      <c r="E186" s="16" t="s">
        <v>333</v>
      </c>
      <c r="F186" s="16" t="s">
        <v>333</v>
      </c>
      <c r="G186" s="7" t="n">
        <v>0</v>
      </c>
      <c r="H186" s="13" t="n">
        <f aca="false">G186/23967</f>
        <v>0</v>
      </c>
      <c r="I186" s="16"/>
      <c r="J186" s="16" t="s">
        <v>335</v>
      </c>
      <c r="K186" s="16" t="s">
        <v>211</v>
      </c>
      <c r="L186" s="16" t="s">
        <v>188</v>
      </c>
      <c r="M186" s="16" t="s">
        <v>336</v>
      </c>
      <c r="N186" s="16" t="s">
        <v>479</v>
      </c>
      <c r="O186" s="16"/>
      <c r="P186" s="27" t="n">
        <v>0</v>
      </c>
    </row>
    <row r="187" customFormat="false" ht="25.5" hidden="false" customHeight="true" outlineLevel="0" collapsed="false">
      <c r="A187" s="16" t="n">
        <v>183</v>
      </c>
      <c r="B187" s="16" t="s">
        <v>882</v>
      </c>
      <c r="C187" s="16" t="s">
        <v>83</v>
      </c>
      <c r="D187" s="16" t="s">
        <v>883</v>
      </c>
      <c r="E187" s="16" t="s">
        <v>333</v>
      </c>
      <c r="F187" s="16" t="s">
        <v>333</v>
      </c>
      <c r="G187" s="7" t="n">
        <v>0</v>
      </c>
      <c r="H187" s="13" t="n">
        <f aca="false">G187/23967</f>
        <v>0</v>
      </c>
      <c r="I187" s="16" t="s">
        <v>884</v>
      </c>
      <c r="J187" s="16" t="s">
        <v>335</v>
      </c>
      <c r="K187" s="16" t="s">
        <v>205</v>
      </c>
      <c r="L187" s="16" t="s">
        <v>196</v>
      </c>
      <c r="M187" s="16" t="s">
        <v>190</v>
      </c>
      <c r="N187" s="16" t="s">
        <v>368</v>
      </c>
      <c r="O187" s="16"/>
      <c r="P187" s="27" t="n">
        <v>0</v>
      </c>
    </row>
    <row r="188" customFormat="false" ht="25.5" hidden="false" customHeight="true" outlineLevel="0" collapsed="false">
      <c r="A188" s="16" t="n">
        <v>184</v>
      </c>
      <c r="B188" s="16" t="s">
        <v>885</v>
      </c>
      <c r="C188" s="16" t="s">
        <v>83</v>
      </c>
      <c r="D188" s="16" t="s">
        <v>886</v>
      </c>
      <c r="E188" s="16" t="s">
        <v>333</v>
      </c>
      <c r="F188" s="16" t="s">
        <v>333</v>
      </c>
      <c r="G188" s="7" t="n">
        <v>0</v>
      </c>
      <c r="H188" s="13" t="n">
        <f aca="false">G188/23967</f>
        <v>0</v>
      </c>
      <c r="I188" s="16" t="s">
        <v>887</v>
      </c>
      <c r="J188" s="16" t="s">
        <v>341</v>
      </c>
      <c r="K188" s="16" t="s">
        <v>213</v>
      </c>
      <c r="L188" s="16" t="s">
        <v>184</v>
      </c>
      <c r="M188" s="16" t="s">
        <v>545</v>
      </c>
      <c r="N188" s="16" t="s">
        <v>546</v>
      </c>
      <c r="O188" s="16"/>
      <c r="P188" s="27" t="n">
        <v>0</v>
      </c>
    </row>
    <row r="189" customFormat="false" ht="25.5" hidden="false" customHeight="true" outlineLevel="0" collapsed="false">
      <c r="A189" s="16" t="n">
        <v>185</v>
      </c>
      <c r="B189" s="16" t="s">
        <v>888</v>
      </c>
      <c r="C189" s="16" t="s">
        <v>83</v>
      </c>
      <c r="D189" s="16" t="s">
        <v>889</v>
      </c>
      <c r="E189" s="16" t="s">
        <v>333</v>
      </c>
      <c r="F189" s="16" t="s">
        <v>333</v>
      </c>
      <c r="G189" s="7" t="n">
        <v>0</v>
      </c>
      <c r="H189" s="13" t="n">
        <f aca="false">G189/23967</f>
        <v>0</v>
      </c>
      <c r="I189" s="16"/>
      <c r="J189" s="16" t="s">
        <v>335</v>
      </c>
      <c r="K189" s="16" t="s">
        <v>207</v>
      </c>
      <c r="L189" s="16" t="s">
        <v>182</v>
      </c>
      <c r="M189" s="16" t="s">
        <v>357</v>
      </c>
      <c r="N189" s="16" t="s">
        <v>358</v>
      </c>
      <c r="O189" s="16" t="s">
        <v>890</v>
      </c>
      <c r="P189" s="27" t="n">
        <v>0</v>
      </c>
    </row>
    <row r="190" customFormat="false" ht="25.5" hidden="false" customHeight="true" outlineLevel="0" collapsed="false">
      <c r="A190" s="16" t="n">
        <v>186</v>
      </c>
      <c r="B190" s="16" t="s">
        <v>891</v>
      </c>
      <c r="C190" s="16" t="s">
        <v>83</v>
      </c>
      <c r="D190" s="16" t="s">
        <v>892</v>
      </c>
      <c r="E190" s="16" t="s">
        <v>333</v>
      </c>
      <c r="F190" s="16" t="s">
        <v>333</v>
      </c>
      <c r="G190" s="7" t="n">
        <v>0</v>
      </c>
      <c r="H190" s="13" t="n">
        <f aca="false">G190/23967</f>
        <v>0</v>
      </c>
      <c r="I190" s="16"/>
      <c r="J190" s="16" t="s">
        <v>341</v>
      </c>
      <c r="K190" s="16" t="s">
        <v>219</v>
      </c>
      <c r="L190" s="16" t="s">
        <v>184</v>
      </c>
      <c r="M190" s="16" t="s">
        <v>417</v>
      </c>
      <c r="N190" s="16" t="s">
        <v>418</v>
      </c>
      <c r="O190" s="16" t="s">
        <v>419</v>
      </c>
      <c r="P190" s="27" t="n">
        <v>0</v>
      </c>
    </row>
    <row r="191" customFormat="false" ht="25.5" hidden="false" customHeight="true" outlineLevel="0" collapsed="false">
      <c r="A191" s="16" t="n">
        <v>187</v>
      </c>
      <c r="B191" s="16" t="s">
        <v>893</v>
      </c>
      <c r="C191" s="16" t="s">
        <v>83</v>
      </c>
      <c r="D191" s="16" t="s">
        <v>894</v>
      </c>
      <c r="E191" s="16" t="s">
        <v>332</v>
      </c>
      <c r="F191" s="16" t="s">
        <v>333</v>
      </c>
      <c r="G191" s="7" t="n">
        <v>0</v>
      </c>
      <c r="H191" s="13" t="n">
        <f aca="false">G191/23967</f>
        <v>0</v>
      </c>
      <c r="I191" s="16"/>
      <c r="J191" s="16" t="s">
        <v>335</v>
      </c>
      <c r="K191" s="16" t="s">
        <v>211</v>
      </c>
      <c r="L191" s="16" t="s">
        <v>192</v>
      </c>
      <c r="M191" s="16" t="s">
        <v>386</v>
      </c>
      <c r="N191" s="16" t="s">
        <v>513</v>
      </c>
      <c r="O191" s="16"/>
      <c r="P191" s="27" t="n">
        <v>0</v>
      </c>
    </row>
    <row r="192" customFormat="false" ht="25.5" hidden="false" customHeight="true" outlineLevel="0" collapsed="false">
      <c r="A192" s="16" t="n">
        <v>188</v>
      </c>
      <c r="B192" s="16" t="s">
        <v>895</v>
      </c>
      <c r="C192" s="16" t="s">
        <v>83</v>
      </c>
      <c r="D192" s="16" t="s">
        <v>896</v>
      </c>
      <c r="E192" s="16" t="s">
        <v>332</v>
      </c>
      <c r="F192" s="16" t="s">
        <v>333</v>
      </c>
      <c r="G192" s="7" t="n">
        <v>0</v>
      </c>
      <c r="H192" s="13" t="n">
        <f aca="false">G192/23967</f>
        <v>0</v>
      </c>
      <c r="I192" s="16"/>
      <c r="J192" s="16" t="s">
        <v>341</v>
      </c>
      <c r="K192" s="16" t="s">
        <v>213</v>
      </c>
      <c r="L192" s="16" t="s">
        <v>184</v>
      </c>
      <c r="M192" s="16" t="s">
        <v>396</v>
      </c>
      <c r="N192" s="16" t="s">
        <v>397</v>
      </c>
      <c r="O192" s="16"/>
      <c r="P192" s="27" t="n">
        <v>0</v>
      </c>
    </row>
    <row r="193" customFormat="false" ht="25.5" hidden="false" customHeight="true" outlineLevel="0" collapsed="false">
      <c r="A193" s="16" t="n">
        <v>189</v>
      </c>
      <c r="B193" s="16" t="s">
        <v>897</v>
      </c>
      <c r="C193" s="16" t="s">
        <v>83</v>
      </c>
      <c r="D193" s="16" t="s">
        <v>898</v>
      </c>
      <c r="E193" s="16" t="s">
        <v>332</v>
      </c>
      <c r="F193" s="16" t="s">
        <v>333</v>
      </c>
      <c r="G193" s="7" t="n">
        <v>0</v>
      </c>
      <c r="H193" s="13" t="n">
        <f aca="false">G193/23967</f>
        <v>0</v>
      </c>
      <c r="I193" s="16" t="s">
        <v>899</v>
      </c>
      <c r="J193" s="16" t="s">
        <v>341</v>
      </c>
      <c r="K193" s="16" t="s">
        <v>213</v>
      </c>
      <c r="L193" s="16" t="s">
        <v>184</v>
      </c>
      <c r="M193" s="16" t="s">
        <v>396</v>
      </c>
      <c r="N193" s="16" t="s">
        <v>397</v>
      </c>
      <c r="O193" s="16"/>
      <c r="P193" s="27" t="n">
        <v>0</v>
      </c>
    </row>
    <row r="194" customFormat="false" ht="25.5" hidden="false" customHeight="true" outlineLevel="0" collapsed="false">
      <c r="A194" s="16" t="n">
        <v>190</v>
      </c>
      <c r="B194" s="16" t="s">
        <v>900</v>
      </c>
      <c r="C194" s="16" t="s">
        <v>83</v>
      </c>
      <c r="D194" s="16" t="s">
        <v>901</v>
      </c>
      <c r="E194" s="16" t="s">
        <v>332</v>
      </c>
      <c r="F194" s="16" t="s">
        <v>333</v>
      </c>
      <c r="G194" s="7" t="n">
        <v>0</v>
      </c>
      <c r="H194" s="13" t="n">
        <f aca="false">G194/23967</f>
        <v>0</v>
      </c>
      <c r="I194" s="16"/>
      <c r="J194" s="16" t="s">
        <v>341</v>
      </c>
      <c r="K194" s="16" t="s">
        <v>213</v>
      </c>
      <c r="L194" s="16" t="s">
        <v>184</v>
      </c>
      <c r="M194" s="16" t="s">
        <v>396</v>
      </c>
      <c r="N194" s="16" t="s">
        <v>397</v>
      </c>
      <c r="O194" s="16"/>
      <c r="P194" s="27" t="n">
        <v>0</v>
      </c>
    </row>
    <row r="195" customFormat="false" ht="25.5" hidden="false" customHeight="true" outlineLevel="0" collapsed="false">
      <c r="A195" s="16" t="n">
        <v>191</v>
      </c>
      <c r="B195" s="16" t="s">
        <v>902</v>
      </c>
      <c r="C195" s="16" t="s">
        <v>83</v>
      </c>
      <c r="D195" s="16" t="s">
        <v>903</v>
      </c>
      <c r="E195" s="16" t="s">
        <v>332</v>
      </c>
      <c r="F195" s="16" t="s">
        <v>333</v>
      </c>
      <c r="G195" s="7" t="n">
        <v>0</v>
      </c>
      <c r="H195" s="13" t="n">
        <f aca="false">G195/23967</f>
        <v>0</v>
      </c>
      <c r="I195" s="16"/>
      <c r="J195" s="16" t="s">
        <v>341</v>
      </c>
      <c r="K195" s="16" t="s">
        <v>213</v>
      </c>
      <c r="L195" s="16" t="s">
        <v>184</v>
      </c>
      <c r="M195" s="16" t="s">
        <v>396</v>
      </c>
      <c r="N195" s="16" t="s">
        <v>397</v>
      </c>
      <c r="O195" s="16"/>
      <c r="P195" s="27" t="n">
        <v>0</v>
      </c>
    </row>
    <row r="196" customFormat="false" ht="38.25" hidden="false" customHeight="true" outlineLevel="0" collapsed="false">
      <c r="A196" s="16" t="n">
        <v>192</v>
      </c>
      <c r="B196" s="16" t="s">
        <v>904</v>
      </c>
      <c r="C196" s="16" t="s">
        <v>83</v>
      </c>
      <c r="D196" s="16" t="s">
        <v>905</v>
      </c>
      <c r="E196" s="16" t="s">
        <v>332</v>
      </c>
      <c r="F196" s="16" t="s">
        <v>333</v>
      </c>
      <c r="G196" s="7" t="n">
        <v>0</v>
      </c>
      <c r="H196" s="13" t="n">
        <f aca="false">G196/23967</f>
        <v>0</v>
      </c>
      <c r="I196" s="16" t="s">
        <v>906</v>
      </c>
      <c r="J196" s="16" t="s">
        <v>335</v>
      </c>
      <c r="K196" s="16" t="s">
        <v>207</v>
      </c>
      <c r="L196" s="16" t="s">
        <v>182</v>
      </c>
      <c r="M196" s="16" t="s">
        <v>357</v>
      </c>
      <c r="N196" s="16" t="s">
        <v>358</v>
      </c>
      <c r="O196" s="16"/>
      <c r="P196" s="27" t="n">
        <v>0</v>
      </c>
    </row>
    <row r="197" customFormat="false" ht="25.5" hidden="false" customHeight="true" outlineLevel="0" collapsed="false">
      <c r="A197" s="16" t="n">
        <v>193</v>
      </c>
      <c r="B197" s="16" t="s">
        <v>907</v>
      </c>
      <c r="C197" s="16" t="s">
        <v>83</v>
      </c>
      <c r="D197" s="16" t="s">
        <v>908</v>
      </c>
      <c r="E197" s="16" t="s">
        <v>333</v>
      </c>
      <c r="F197" s="16" t="s">
        <v>333</v>
      </c>
      <c r="G197" s="7" t="n">
        <v>0</v>
      </c>
      <c r="H197" s="13" t="n">
        <f aca="false">G197/23967</f>
        <v>0</v>
      </c>
      <c r="I197" s="16" t="s">
        <v>909</v>
      </c>
      <c r="J197" s="16" t="s">
        <v>341</v>
      </c>
      <c r="K197" s="16" t="s">
        <v>213</v>
      </c>
      <c r="L197" s="16" t="s">
        <v>184</v>
      </c>
      <c r="M197" s="16" t="s">
        <v>396</v>
      </c>
      <c r="N197" s="16" t="s">
        <v>397</v>
      </c>
      <c r="O197" s="16" t="s">
        <v>910</v>
      </c>
      <c r="P197" s="27" t="n">
        <v>0</v>
      </c>
    </row>
    <row r="198" customFormat="false" ht="25.5" hidden="false" customHeight="true" outlineLevel="0" collapsed="false">
      <c r="A198" s="16" t="n">
        <v>194</v>
      </c>
      <c r="B198" s="16" t="s">
        <v>911</v>
      </c>
      <c r="C198" s="16" t="s">
        <v>83</v>
      </c>
      <c r="D198" s="16" t="s">
        <v>912</v>
      </c>
      <c r="E198" s="16" t="s">
        <v>333</v>
      </c>
      <c r="F198" s="16" t="s">
        <v>333</v>
      </c>
      <c r="G198" s="7" t="n">
        <v>0</v>
      </c>
      <c r="H198" s="13" t="n">
        <f aca="false">G198/23967</f>
        <v>0</v>
      </c>
      <c r="I198" s="16" t="s">
        <v>913</v>
      </c>
      <c r="J198" s="16" t="s">
        <v>341</v>
      </c>
      <c r="K198" s="16" t="s">
        <v>213</v>
      </c>
      <c r="L198" s="16" t="s">
        <v>184</v>
      </c>
      <c r="M198" s="16" t="s">
        <v>396</v>
      </c>
      <c r="N198" s="16" t="s">
        <v>397</v>
      </c>
      <c r="O198" s="16" t="s">
        <v>910</v>
      </c>
      <c r="P198" s="27" t="n">
        <v>0</v>
      </c>
    </row>
    <row r="199" customFormat="false" ht="38.25" hidden="false" customHeight="true" outlineLevel="0" collapsed="false">
      <c r="A199" s="16" t="n">
        <v>195</v>
      </c>
      <c r="B199" s="16" t="s">
        <v>914</v>
      </c>
      <c r="C199" s="16" t="s">
        <v>83</v>
      </c>
      <c r="D199" s="16" t="s">
        <v>915</v>
      </c>
      <c r="E199" s="16" t="s">
        <v>333</v>
      </c>
      <c r="F199" s="16" t="s">
        <v>333</v>
      </c>
      <c r="G199" s="7" t="n">
        <v>0</v>
      </c>
      <c r="H199" s="13" t="n">
        <f aca="false">G199/23967</f>
        <v>0</v>
      </c>
      <c r="I199" s="16" t="s">
        <v>916</v>
      </c>
      <c r="J199" s="16" t="s">
        <v>341</v>
      </c>
      <c r="K199" s="16" t="s">
        <v>213</v>
      </c>
      <c r="L199" s="16" t="s">
        <v>184</v>
      </c>
      <c r="M199" s="16" t="s">
        <v>396</v>
      </c>
      <c r="N199" s="16" t="s">
        <v>397</v>
      </c>
      <c r="O199" s="16"/>
      <c r="P199" s="27" t="n">
        <v>0</v>
      </c>
    </row>
    <row r="200" customFormat="false" ht="25.5" hidden="false" customHeight="true" outlineLevel="0" collapsed="false">
      <c r="A200" s="16" t="n">
        <v>196</v>
      </c>
      <c r="B200" s="16" t="s">
        <v>917</v>
      </c>
      <c r="C200" s="16" t="s">
        <v>83</v>
      </c>
      <c r="D200" s="16" t="s">
        <v>918</v>
      </c>
      <c r="E200" s="16" t="s">
        <v>332</v>
      </c>
      <c r="F200" s="16" t="s">
        <v>333</v>
      </c>
      <c r="G200" s="7" t="n">
        <v>0</v>
      </c>
      <c r="H200" s="13" t="n">
        <f aca="false">G200/23967</f>
        <v>0</v>
      </c>
      <c r="I200" s="16"/>
      <c r="J200" s="16" t="s">
        <v>341</v>
      </c>
      <c r="K200" s="16" t="s">
        <v>213</v>
      </c>
      <c r="L200" s="16" t="s">
        <v>184</v>
      </c>
      <c r="M200" s="16" t="s">
        <v>545</v>
      </c>
      <c r="N200" s="16" t="s">
        <v>546</v>
      </c>
      <c r="O200" s="16"/>
      <c r="P200" s="27" t="n">
        <v>0</v>
      </c>
    </row>
    <row r="201" customFormat="false" ht="25.5" hidden="false" customHeight="true" outlineLevel="0" collapsed="false">
      <c r="A201" s="16" t="n">
        <v>197</v>
      </c>
      <c r="B201" s="16" t="s">
        <v>919</v>
      </c>
      <c r="C201" s="16" t="s">
        <v>83</v>
      </c>
      <c r="D201" s="16" t="s">
        <v>920</v>
      </c>
      <c r="E201" s="16" t="s">
        <v>332</v>
      </c>
      <c r="F201" s="16" t="s">
        <v>333</v>
      </c>
      <c r="G201" s="7" t="n">
        <v>0</v>
      </c>
      <c r="H201" s="13" t="n">
        <f aca="false">G201/23967</f>
        <v>0</v>
      </c>
      <c r="I201" s="16"/>
      <c r="J201" s="16" t="s">
        <v>341</v>
      </c>
      <c r="K201" s="16" t="s">
        <v>213</v>
      </c>
      <c r="L201" s="16" t="s">
        <v>184</v>
      </c>
      <c r="M201" s="16" t="s">
        <v>545</v>
      </c>
      <c r="N201" s="16" t="s">
        <v>546</v>
      </c>
      <c r="O201" s="16"/>
      <c r="P201" s="27" t="n">
        <v>0</v>
      </c>
    </row>
    <row r="202" customFormat="false" ht="25.5" hidden="false" customHeight="true" outlineLevel="0" collapsed="false">
      <c r="A202" s="16" t="n">
        <v>198</v>
      </c>
      <c r="B202" s="16" t="s">
        <v>921</v>
      </c>
      <c r="C202" s="16" t="s">
        <v>83</v>
      </c>
      <c r="D202" s="16" t="s">
        <v>922</v>
      </c>
      <c r="E202" s="16" t="s">
        <v>332</v>
      </c>
      <c r="F202" s="16" t="s">
        <v>333</v>
      </c>
      <c r="G202" s="7" t="n">
        <v>0</v>
      </c>
      <c r="H202" s="13" t="n">
        <f aca="false">G202/23967</f>
        <v>0</v>
      </c>
      <c r="I202" s="16"/>
      <c r="J202" s="16" t="s">
        <v>341</v>
      </c>
      <c r="K202" s="16" t="s">
        <v>213</v>
      </c>
      <c r="L202" s="16" t="s">
        <v>184</v>
      </c>
      <c r="M202" s="16" t="s">
        <v>545</v>
      </c>
      <c r="N202" s="16" t="s">
        <v>546</v>
      </c>
      <c r="O202" s="16" t="s">
        <v>923</v>
      </c>
      <c r="P202" s="27" t="n">
        <v>0</v>
      </c>
    </row>
    <row r="203" customFormat="false" ht="25.5" hidden="false" customHeight="true" outlineLevel="0" collapsed="false">
      <c r="A203" s="16" t="n">
        <v>199</v>
      </c>
      <c r="B203" s="16" t="s">
        <v>924</v>
      </c>
      <c r="C203" s="16" t="s">
        <v>83</v>
      </c>
      <c r="D203" s="16" t="s">
        <v>925</v>
      </c>
      <c r="E203" s="16" t="s">
        <v>332</v>
      </c>
      <c r="F203" s="16" t="s">
        <v>333</v>
      </c>
      <c r="G203" s="7" t="n">
        <v>0</v>
      </c>
      <c r="H203" s="13" t="n">
        <f aca="false">G203/23967</f>
        <v>0</v>
      </c>
      <c r="I203" s="16"/>
      <c r="J203" s="16" t="s">
        <v>341</v>
      </c>
      <c r="K203" s="16" t="s">
        <v>213</v>
      </c>
      <c r="L203" s="16" t="s">
        <v>184</v>
      </c>
      <c r="M203" s="16" t="s">
        <v>545</v>
      </c>
      <c r="N203" s="16" t="s">
        <v>546</v>
      </c>
      <c r="O203" s="16"/>
      <c r="P203" s="27" t="n">
        <v>0</v>
      </c>
    </row>
    <row r="204" customFormat="false" ht="25.5" hidden="false" customHeight="true" outlineLevel="0" collapsed="false">
      <c r="A204" s="16" t="n">
        <v>200</v>
      </c>
      <c r="B204" s="16" t="s">
        <v>926</v>
      </c>
      <c r="C204" s="16" t="s">
        <v>83</v>
      </c>
      <c r="D204" s="16" t="s">
        <v>861</v>
      </c>
      <c r="E204" s="16" t="s">
        <v>332</v>
      </c>
      <c r="F204" s="16" t="s">
        <v>333</v>
      </c>
      <c r="G204" s="7" t="n">
        <v>0</v>
      </c>
      <c r="H204" s="13" t="n">
        <f aca="false">G204/23967</f>
        <v>0</v>
      </c>
      <c r="I204" s="16"/>
      <c r="J204" s="16" t="s">
        <v>341</v>
      </c>
      <c r="K204" s="16" t="s">
        <v>213</v>
      </c>
      <c r="L204" s="16" t="s">
        <v>184</v>
      </c>
      <c r="M204" s="16" t="s">
        <v>545</v>
      </c>
      <c r="N204" s="16" t="s">
        <v>546</v>
      </c>
      <c r="O204" s="16"/>
      <c r="P204" s="27" t="n">
        <v>0</v>
      </c>
    </row>
    <row r="205" customFormat="false" ht="25.5" hidden="false" customHeight="true" outlineLevel="0" collapsed="false">
      <c r="A205" s="16" t="n">
        <v>201</v>
      </c>
      <c r="B205" s="16" t="s">
        <v>927</v>
      </c>
      <c r="C205" s="16" t="s">
        <v>83</v>
      </c>
      <c r="D205" s="16" t="s">
        <v>863</v>
      </c>
      <c r="E205" s="16" t="s">
        <v>332</v>
      </c>
      <c r="F205" s="16" t="s">
        <v>333</v>
      </c>
      <c r="G205" s="7" t="n">
        <v>0</v>
      </c>
      <c r="H205" s="13" t="n">
        <f aca="false">G205/23967</f>
        <v>0</v>
      </c>
      <c r="I205" s="16"/>
      <c r="J205" s="16" t="s">
        <v>341</v>
      </c>
      <c r="K205" s="16" t="s">
        <v>213</v>
      </c>
      <c r="L205" s="16" t="s">
        <v>184</v>
      </c>
      <c r="M205" s="16" t="s">
        <v>545</v>
      </c>
      <c r="N205" s="16" t="s">
        <v>546</v>
      </c>
      <c r="O205" s="16"/>
      <c r="P205" s="27" t="n">
        <v>0</v>
      </c>
    </row>
    <row r="206" customFormat="false" ht="25.5" hidden="false" customHeight="true" outlineLevel="0" collapsed="false">
      <c r="A206" s="16" t="n">
        <v>202</v>
      </c>
      <c r="B206" s="16" t="s">
        <v>928</v>
      </c>
      <c r="C206" s="16" t="s">
        <v>83</v>
      </c>
      <c r="D206" s="16" t="s">
        <v>866</v>
      </c>
      <c r="E206" s="16" t="s">
        <v>332</v>
      </c>
      <c r="F206" s="16" t="s">
        <v>333</v>
      </c>
      <c r="G206" s="7" t="n">
        <v>0</v>
      </c>
      <c r="H206" s="13" t="n">
        <f aca="false">G206/23967</f>
        <v>0</v>
      </c>
      <c r="I206" s="16"/>
      <c r="J206" s="16" t="s">
        <v>341</v>
      </c>
      <c r="K206" s="16" t="s">
        <v>213</v>
      </c>
      <c r="L206" s="16" t="s">
        <v>184</v>
      </c>
      <c r="M206" s="16" t="s">
        <v>545</v>
      </c>
      <c r="N206" s="16" t="s">
        <v>546</v>
      </c>
      <c r="O206" s="16"/>
      <c r="P206" s="27" t="n">
        <v>0</v>
      </c>
    </row>
    <row r="207" customFormat="false" ht="25.5" hidden="false" customHeight="true" outlineLevel="0" collapsed="false">
      <c r="A207" s="16" t="n">
        <v>203</v>
      </c>
      <c r="B207" s="16" t="s">
        <v>929</v>
      </c>
      <c r="C207" s="16" t="s">
        <v>85</v>
      </c>
      <c r="D207" s="16" t="s">
        <v>930</v>
      </c>
      <c r="E207" s="16" t="s">
        <v>333</v>
      </c>
      <c r="F207" s="16" t="s">
        <v>333</v>
      </c>
      <c r="G207" s="7" t="n">
        <v>0</v>
      </c>
      <c r="H207" s="13" t="n">
        <f aca="false">G207/23967</f>
        <v>0</v>
      </c>
      <c r="I207" s="16" t="s">
        <v>931</v>
      </c>
      <c r="J207" s="16" t="s">
        <v>341</v>
      </c>
      <c r="K207" s="16" t="s">
        <v>213</v>
      </c>
      <c r="L207" s="16" t="s">
        <v>184</v>
      </c>
      <c r="M207" s="16" t="s">
        <v>396</v>
      </c>
      <c r="N207" s="16" t="s">
        <v>397</v>
      </c>
      <c r="O207" s="16"/>
      <c r="P207" s="27" t="n">
        <v>0</v>
      </c>
    </row>
    <row r="208" customFormat="false" ht="25.5" hidden="false" customHeight="true" outlineLevel="0" collapsed="false">
      <c r="A208" s="16" t="n">
        <v>204</v>
      </c>
      <c r="B208" s="16" t="s">
        <v>932</v>
      </c>
      <c r="C208" s="16" t="s">
        <v>89</v>
      </c>
      <c r="D208" s="16" t="s">
        <v>933</v>
      </c>
      <c r="E208" s="16" t="s">
        <v>333</v>
      </c>
      <c r="F208" s="16" t="s">
        <v>333</v>
      </c>
      <c r="G208" s="7" t="n">
        <v>0</v>
      </c>
      <c r="H208" s="13" t="n">
        <f aca="false">G208/23967</f>
        <v>0</v>
      </c>
      <c r="I208" s="16" t="s">
        <v>934</v>
      </c>
      <c r="J208" s="16" t="s">
        <v>341</v>
      </c>
      <c r="K208" s="16" t="s">
        <v>213</v>
      </c>
      <c r="L208" s="16" t="s">
        <v>184</v>
      </c>
      <c r="M208" s="16" t="s">
        <v>396</v>
      </c>
      <c r="N208" s="16" t="s">
        <v>397</v>
      </c>
      <c r="O208" s="16"/>
      <c r="P208" s="27" t="n">
        <v>0</v>
      </c>
    </row>
    <row r="209" customFormat="false" ht="25.5" hidden="false" customHeight="true" outlineLevel="0" collapsed="false">
      <c r="A209" s="16" t="n">
        <v>205</v>
      </c>
      <c r="B209" s="16" t="s">
        <v>935</v>
      </c>
      <c r="C209" s="16" t="s">
        <v>91</v>
      </c>
      <c r="D209" s="16" t="s">
        <v>936</v>
      </c>
      <c r="E209" s="16" t="s">
        <v>333</v>
      </c>
      <c r="F209" s="16" t="s">
        <v>333</v>
      </c>
      <c r="G209" s="7" t="n">
        <v>0</v>
      </c>
      <c r="H209" s="13" t="n">
        <f aca="false">G209/23967</f>
        <v>0</v>
      </c>
      <c r="I209" s="16"/>
      <c r="J209" s="16" t="s">
        <v>335</v>
      </c>
      <c r="K209" s="16" t="s">
        <v>205</v>
      </c>
      <c r="L209" s="16" t="s">
        <v>196</v>
      </c>
      <c r="M209" s="16" t="s">
        <v>190</v>
      </c>
      <c r="N209" s="16" t="s">
        <v>368</v>
      </c>
      <c r="O209" s="16" t="s">
        <v>937</v>
      </c>
      <c r="P209" s="27" t="n">
        <v>0</v>
      </c>
    </row>
    <row r="210" customFormat="false" ht="25.5" hidden="false" customHeight="true" outlineLevel="0" collapsed="false">
      <c r="A210" s="16" t="n">
        <v>206</v>
      </c>
      <c r="B210" s="16" t="s">
        <v>938</v>
      </c>
      <c r="C210" s="16" t="s">
        <v>93</v>
      </c>
      <c r="D210" s="16" t="s">
        <v>939</v>
      </c>
      <c r="E210" s="16" t="s">
        <v>333</v>
      </c>
      <c r="F210" s="16" t="s">
        <v>333</v>
      </c>
      <c r="G210" s="7" t="n">
        <v>0</v>
      </c>
      <c r="H210" s="13" t="n">
        <f aca="false">G210/23967</f>
        <v>0</v>
      </c>
      <c r="I210" s="16" t="s">
        <v>940</v>
      </c>
      <c r="J210" s="16" t="s">
        <v>335</v>
      </c>
      <c r="K210" s="16" t="s">
        <v>207</v>
      </c>
      <c r="L210" s="16" t="s">
        <v>182</v>
      </c>
      <c r="M210" s="16" t="s">
        <v>471</v>
      </c>
      <c r="N210" s="16" t="s">
        <v>472</v>
      </c>
      <c r="O210" s="16"/>
      <c r="P210" s="27" t="n">
        <v>0</v>
      </c>
    </row>
    <row r="211" customFormat="false" ht="25.5" hidden="false" customHeight="true" outlineLevel="0" collapsed="false">
      <c r="A211" s="16" t="n">
        <v>207</v>
      </c>
      <c r="B211" s="16" t="s">
        <v>941</v>
      </c>
      <c r="C211" s="16" t="s">
        <v>93</v>
      </c>
      <c r="D211" s="16" t="s">
        <v>942</v>
      </c>
      <c r="E211" s="16" t="s">
        <v>333</v>
      </c>
      <c r="F211" s="16" t="s">
        <v>333</v>
      </c>
      <c r="G211" s="7" t="n">
        <v>0</v>
      </c>
      <c r="H211" s="13" t="n">
        <f aca="false">G211/23967</f>
        <v>0</v>
      </c>
      <c r="I211" s="16"/>
      <c r="J211" s="16" t="s">
        <v>335</v>
      </c>
      <c r="K211" s="16" t="s">
        <v>209</v>
      </c>
      <c r="L211" s="16" t="s">
        <v>198</v>
      </c>
      <c r="M211" s="16" t="s">
        <v>184</v>
      </c>
      <c r="N211" s="16" t="s">
        <v>498</v>
      </c>
      <c r="O211" s="16"/>
      <c r="P211" s="27" t="n">
        <v>0</v>
      </c>
    </row>
    <row r="212" customFormat="false" ht="25.5" hidden="false" customHeight="true" outlineLevel="0" collapsed="false">
      <c r="A212" s="16" t="n">
        <v>208</v>
      </c>
      <c r="B212" s="16" t="s">
        <v>943</v>
      </c>
      <c r="C212" s="16" t="s">
        <v>93</v>
      </c>
      <c r="D212" s="16" t="s">
        <v>944</v>
      </c>
      <c r="E212" s="16" t="s">
        <v>333</v>
      </c>
      <c r="F212" s="16" t="s">
        <v>333</v>
      </c>
      <c r="G212" s="7" t="n">
        <v>0</v>
      </c>
      <c r="H212" s="13" t="n">
        <f aca="false">G212/23967</f>
        <v>0</v>
      </c>
      <c r="I212" s="16"/>
      <c r="J212" s="16" t="s">
        <v>335</v>
      </c>
      <c r="K212" s="16" t="s">
        <v>209</v>
      </c>
      <c r="L212" s="16" t="s">
        <v>198</v>
      </c>
      <c r="M212" s="16" t="s">
        <v>184</v>
      </c>
      <c r="N212" s="16" t="s">
        <v>498</v>
      </c>
      <c r="O212" s="16"/>
      <c r="P212" s="27" t="n">
        <v>0</v>
      </c>
    </row>
    <row r="213" customFormat="false" ht="25.5" hidden="false" customHeight="true" outlineLevel="0" collapsed="false">
      <c r="A213" s="16" t="n">
        <v>209</v>
      </c>
      <c r="B213" s="16" t="s">
        <v>945</v>
      </c>
      <c r="C213" s="16" t="s">
        <v>101</v>
      </c>
      <c r="D213" s="16" t="s">
        <v>946</v>
      </c>
      <c r="E213" s="16" t="s">
        <v>332</v>
      </c>
      <c r="F213" s="16" t="s">
        <v>333</v>
      </c>
      <c r="G213" s="7" t="n">
        <v>0</v>
      </c>
      <c r="H213" s="13" t="n">
        <f aca="false">G213/23967</f>
        <v>0</v>
      </c>
      <c r="I213" s="16"/>
      <c r="J213" s="16" t="s">
        <v>335</v>
      </c>
      <c r="K213" s="16" t="s">
        <v>207</v>
      </c>
      <c r="L213" s="16" t="s">
        <v>182</v>
      </c>
      <c r="M213" s="16" t="s">
        <v>471</v>
      </c>
      <c r="N213" s="16" t="s">
        <v>472</v>
      </c>
      <c r="O213" s="16"/>
      <c r="P213" s="27" t="n">
        <v>0</v>
      </c>
    </row>
    <row r="214" customFormat="false" ht="25.5" hidden="false" customHeight="true" outlineLevel="0" collapsed="false">
      <c r="A214" s="16" t="n">
        <v>210</v>
      </c>
      <c r="B214" s="16" t="s">
        <v>947</v>
      </c>
      <c r="C214" s="16" t="s">
        <v>101</v>
      </c>
      <c r="D214" s="16" t="s">
        <v>948</v>
      </c>
      <c r="E214" s="16" t="s">
        <v>332</v>
      </c>
      <c r="F214" s="16" t="s">
        <v>333</v>
      </c>
      <c r="G214" s="7" t="n">
        <v>0</v>
      </c>
      <c r="H214" s="13" t="n">
        <f aca="false">G214/23967</f>
        <v>0</v>
      </c>
      <c r="I214" s="16"/>
      <c r="J214" s="16" t="s">
        <v>335</v>
      </c>
      <c r="K214" s="16" t="s">
        <v>207</v>
      </c>
      <c r="L214" s="16" t="s">
        <v>182</v>
      </c>
      <c r="M214" s="16" t="s">
        <v>471</v>
      </c>
      <c r="N214" s="16" t="s">
        <v>472</v>
      </c>
      <c r="O214" s="16"/>
      <c r="P214" s="27" t="n">
        <v>0</v>
      </c>
    </row>
    <row r="215" customFormat="false" ht="25.5" hidden="false" customHeight="true" outlineLevel="0" collapsed="false">
      <c r="A215" s="16" t="n">
        <v>211</v>
      </c>
      <c r="B215" s="16" t="s">
        <v>949</v>
      </c>
      <c r="C215" s="16" t="s">
        <v>101</v>
      </c>
      <c r="D215" s="16" t="s">
        <v>950</v>
      </c>
      <c r="E215" s="16" t="s">
        <v>332</v>
      </c>
      <c r="F215" s="16" t="s">
        <v>333</v>
      </c>
      <c r="G215" s="7" t="n">
        <v>0</v>
      </c>
      <c r="H215" s="13" t="n">
        <f aca="false">G215/23967</f>
        <v>0</v>
      </c>
      <c r="I215" s="16"/>
      <c r="J215" s="16" t="s">
        <v>335</v>
      </c>
      <c r="K215" s="16" t="s">
        <v>207</v>
      </c>
      <c r="L215" s="16" t="s">
        <v>182</v>
      </c>
      <c r="M215" s="16" t="s">
        <v>471</v>
      </c>
      <c r="N215" s="16" t="s">
        <v>472</v>
      </c>
      <c r="O215" s="16"/>
      <c r="P215" s="27" t="n">
        <v>0</v>
      </c>
    </row>
    <row r="216" customFormat="false" ht="25.5" hidden="false" customHeight="true" outlineLevel="0" collapsed="false">
      <c r="A216" s="16" t="n">
        <v>212</v>
      </c>
      <c r="B216" s="16" t="s">
        <v>951</v>
      </c>
      <c r="C216" s="16" t="s">
        <v>101</v>
      </c>
      <c r="D216" s="16" t="s">
        <v>952</v>
      </c>
      <c r="E216" s="16" t="s">
        <v>333</v>
      </c>
      <c r="F216" s="16" t="s">
        <v>333</v>
      </c>
      <c r="G216" s="7" t="n">
        <v>0</v>
      </c>
      <c r="H216" s="13" t="n">
        <f aca="false">G216/23967</f>
        <v>0</v>
      </c>
      <c r="I216" s="16"/>
      <c r="J216" s="16" t="s">
        <v>341</v>
      </c>
      <c r="K216" s="16" t="s">
        <v>213</v>
      </c>
      <c r="L216" s="16" t="s">
        <v>184</v>
      </c>
      <c r="M216" s="16" t="s">
        <v>396</v>
      </c>
      <c r="N216" s="16" t="s">
        <v>397</v>
      </c>
      <c r="O216" s="16"/>
      <c r="P216" s="27" t="n">
        <v>0</v>
      </c>
    </row>
    <row r="217" customFormat="false" ht="38.25" hidden="false" customHeight="true" outlineLevel="0" collapsed="false">
      <c r="A217" s="16" t="n">
        <v>213</v>
      </c>
      <c r="B217" s="16" t="s">
        <v>953</v>
      </c>
      <c r="C217" s="16" t="s">
        <v>101</v>
      </c>
      <c r="D217" s="16" t="s">
        <v>954</v>
      </c>
      <c r="E217" s="16" t="s">
        <v>333</v>
      </c>
      <c r="F217" s="16" t="s">
        <v>333</v>
      </c>
      <c r="G217" s="7" t="n">
        <v>0</v>
      </c>
      <c r="H217" s="13" t="n">
        <f aca="false">G217/23967</f>
        <v>0</v>
      </c>
      <c r="I217" s="16"/>
      <c r="J217" s="16" t="s">
        <v>341</v>
      </c>
      <c r="K217" s="16" t="s">
        <v>213</v>
      </c>
      <c r="L217" s="16" t="s">
        <v>184</v>
      </c>
      <c r="M217" s="16" t="s">
        <v>545</v>
      </c>
      <c r="N217" s="16" t="s">
        <v>546</v>
      </c>
      <c r="O217" s="16"/>
      <c r="P217" s="27" t="n">
        <v>0</v>
      </c>
    </row>
    <row r="218" customFormat="false" ht="38.25" hidden="false" customHeight="true" outlineLevel="0" collapsed="false">
      <c r="A218" s="16" t="n">
        <v>214</v>
      </c>
      <c r="B218" s="16" t="s">
        <v>955</v>
      </c>
      <c r="C218" s="16" t="s">
        <v>101</v>
      </c>
      <c r="D218" s="16" t="s">
        <v>956</v>
      </c>
      <c r="E218" s="16" t="s">
        <v>333</v>
      </c>
      <c r="F218" s="16" t="s">
        <v>333</v>
      </c>
      <c r="G218" s="7" t="n">
        <v>0</v>
      </c>
      <c r="H218" s="13" t="n">
        <f aca="false">G218/23967</f>
        <v>0</v>
      </c>
      <c r="I218" s="16"/>
      <c r="J218" s="16" t="s">
        <v>341</v>
      </c>
      <c r="K218" s="16" t="s">
        <v>213</v>
      </c>
      <c r="L218" s="16" t="s">
        <v>184</v>
      </c>
      <c r="M218" s="16" t="s">
        <v>545</v>
      </c>
      <c r="N218" s="16" t="s">
        <v>546</v>
      </c>
      <c r="O218" s="16"/>
      <c r="P218" s="27" t="n">
        <v>0</v>
      </c>
    </row>
    <row r="219" customFormat="false" ht="25.5" hidden="false" customHeight="true" outlineLevel="0" collapsed="false">
      <c r="A219" s="16" t="n">
        <v>215</v>
      </c>
      <c r="B219" s="16" t="s">
        <v>957</v>
      </c>
      <c r="C219" s="16" t="s">
        <v>101</v>
      </c>
      <c r="D219" s="16" t="s">
        <v>958</v>
      </c>
      <c r="E219" s="16" t="s">
        <v>333</v>
      </c>
      <c r="F219" s="16" t="s">
        <v>333</v>
      </c>
      <c r="G219" s="7" t="n">
        <v>0</v>
      </c>
      <c r="H219" s="13" t="n">
        <f aca="false">G219/23967</f>
        <v>0</v>
      </c>
      <c r="I219" s="16"/>
      <c r="J219" s="16" t="s">
        <v>341</v>
      </c>
      <c r="K219" s="16" t="s">
        <v>213</v>
      </c>
      <c r="L219" s="16" t="s">
        <v>184</v>
      </c>
      <c r="M219" s="16" t="s">
        <v>545</v>
      </c>
      <c r="N219" s="16" t="s">
        <v>546</v>
      </c>
      <c r="O219" s="16"/>
      <c r="P219" s="27" t="n">
        <v>0</v>
      </c>
    </row>
    <row r="220" customFormat="false" ht="38.25" hidden="false" customHeight="true" outlineLevel="0" collapsed="false">
      <c r="A220" s="16" t="n">
        <v>216</v>
      </c>
      <c r="B220" s="16" t="s">
        <v>959</v>
      </c>
      <c r="C220" s="16" t="s">
        <v>101</v>
      </c>
      <c r="D220" s="16" t="s">
        <v>960</v>
      </c>
      <c r="E220" s="16" t="s">
        <v>333</v>
      </c>
      <c r="F220" s="16" t="s">
        <v>333</v>
      </c>
      <c r="G220" s="7" t="n">
        <v>0</v>
      </c>
      <c r="H220" s="13" t="n">
        <f aca="false">G220/23967</f>
        <v>0</v>
      </c>
      <c r="I220" s="16"/>
      <c r="J220" s="16" t="s">
        <v>341</v>
      </c>
      <c r="K220" s="16" t="s">
        <v>213</v>
      </c>
      <c r="L220" s="16" t="s">
        <v>184</v>
      </c>
      <c r="M220" s="16" t="s">
        <v>545</v>
      </c>
      <c r="N220" s="16" t="s">
        <v>546</v>
      </c>
      <c r="O220" s="16"/>
      <c r="P220" s="27" t="n">
        <v>0</v>
      </c>
    </row>
    <row r="221" customFormat="false" ht="24.05" hidden="false" customHeight="false" outlineLevel="0" collapsed="false">
      <c r="A221" s="16" t="n">
        <v>217</v>
      </c>
      <c r="B221" s="16" t="s">
        <v>961</v>
      </c>
      <c r="C221" s="16" t="s">
        <v>101</v>
      </c>
      <c r="D221" s="16" t="s">
        <v>962</v>
      </c>
      <c r="E221" s="16" t="s">
        <v>333</v>
      </c>
      <c r="F221" s="16" t="s">
        <v>333</v>
      </c>
      <c r="G221" s="7" t="n">
        <v>0</v>
      </c>
      <c r="H221" s="13" t="n">
        <f aca="false">G221/23967</f>
        <v>0</v>
      </c>
      <c r="I221" s="16" t="s">
        <v>963</v>
      </c>
      <c r="J221" s="16" t="s">
        <v>341</v>
      </c>
      <c r="K221" s="16" t="s">
        <v>213</v>
      </c>
      <c r="L221" s="16" t="s">
        <v>184</v>
      </c>
      <c r="M221" s="16" t="s">
        <v>545</v>
      </c>
      <c r="N221" s="16" t="s">
        <v>546</v>
      </c>
      <c r="O221" s="16"/>
      <c r="P221" s="27" t="n">
        <v>0</v>
      </c>
    </row>
    <row r="222" customFormat="false" ht="25.5" hidden="false" customHeight="true" outlineLevel="0" collapsed="false">
      <c r="A222" s="16" t="n">
        <v>218</v>
      </c>
      <c r="B222" s="16" t="s">
        <v>964</v>
      </c>
      <c r="C222" s="16" t="s">
        <v>101</v>
      </c>
      <c r="D222" s="16" t="s">
        <v>965</v>
      </c>
      <c r="E222" s="16" t="s">
        <v>332</v>
      </c>
      <c r="F222" s="16" t="s">
        <v>333</v>
      </c>
      <c r="G222" s="7" t="n">
        <v>0</v>
      </c>
      <c r="H222" s="13" t="n">
        <f aca="false">G222/23967</f>
        <v>0</v>
      </c>
      <c r="I222" s="16"/>
      <c r="J222" s="16" t="s">
        <v>341</v>
      </c>
      <c r="K222" s="16" t="s">
        <v>213</v>
      </c>
      <c r="L222" s="16" t="s">
        <v>184</v>
      </c>
      <c r="M222" s="16" t="s">
        <v>396</v>
      </c>
      <c r="N222" s="16" t="s">
        <v>397</v>
      </c>
      <c r="O222" s="16"/>
      <c r="P222" s="27" t="n">
        <v>0</v>
      </c>
    </row>
  </sheetData>
  <autoFilter ref="A4:P222"/>
  <conditionalFormatting sqref="A5:O222">
    <cfRule type="expression" priority="2" aboveAverage="0" equalAverage="0" bottom="0" percent="0" rank="0" text="" dxfId="7">
      <formula>$G5=0</formula>
    </cfRule>
  </conditionalFormatting>
  <conditionalFormatting sqref="E5:E222">
    <cfRule type="expression" priority="3" aboveAverage="0" equalAverage="0" bottom="0" percent="0" rank="0" text="" dxfId="8">
      <formula>$E5="Có"</formula>
    </cfRule>
  </conditionalFormatting>
  <conditionalFormatting sqref="J5:J222">
    <cfRule type="expression" priority="4" aboveAverage="0" equalAverage="0" bottom="0" percent="0" rank="0" text="" dxfId="9">
      <formula>$J5="Kỹ thuật"</formula>
    </cfRule>
    <cfRule type="expression" priority="5" aboveAverage="0" equalAverage="0" bottom="0" percent="0" rank="0" text="" dxfId="10">
      <formula>$J5="Nghiệp vụ"</formula>
    </cfRule>
  </conditionalFormatting>
  <conditionalFormatting sqref="P5:P222">
    <cfRule type="expression" priority="6" aboveAverage="0" equalAverage="0" bottom="0" percent="0" rank="0" text="" dxfId="7">
      <formula>$G5=0</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N63"/>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3" ySplit="0" topLeftCell="D1" activePane="topRight" state="frozen"/>
      <selection pane="topLeft" activeCell="A1" activeCellId="0" sqref="A1"/>
      <selection pane="topRight" activeCell="H26" activeCellId="0" sqref="H26"/>
    </sheetView>
  </sheetViews>
  <sheetFormatPr defaultColWidth="8.54296875" defaultRowHeight="15" customHeight="false"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26"/>
    <col collapsed="false" customWidth="true" hidden="false" outlineLevel="0" max="4" min="4" style="0" width="50"/>
    <col collapsed="false" customWidth="true" hidden="false" outlineLevel="0" max="5" min="5" style="0" width="12"/>
    <col collapsed="false" customWidth="true" hidden="false" outlineLevel="0" max="6" min="6" style="0" width="44"/>
    <col collapsed="false" customWidth="true" hidden="false" outlineLevel="0" max="7" min="7" style="0" width="14"/>
    <col collapsed="false" customWidth="true" hidden="false" outlineLevel="0" max="8" min="8" style="0" width="30"/>
    <col collapsed="false" customWidth="true" hidden="false" outlineLevel="0" max="9" min="9" style="0" width="22"/>
    <col collapsed="false" customWidth="true" hidden="false" outlineLevel="0" max="10" min="10" style="0" width="10.43"/>
    <col collapsed="false" customWidth="true" hidden="false" outlineLevel="0" max="11" min="11" style="0" width="13.43"/>
  </cols>
  <sheetData>
    <row r="1" customFormat="false" ht="18" hidden="false" customHeight="true" outlineLevel="0" collapsed="false">
      <c r="A1" s="1" t="s">
        <v>966</v>
      </c>
    </row>
    <row r="2" customFormat="false" ht="15" hidden="false" customHeight="false" outlineLevel="0" collapsed="false">
      <c r="A2" s="18" t="s">
        <v>967</v>
      </c>
    </row>
    <row r="4" customFormat="false" ht="33.75" hidden="false" customHeight="true" outlineLevel="0" collapsed="false">
      <c r="A4" s="19" t="s">
        <v>968</v>
      </c>
      <c r="B4" s="19" t="s">
        <v>74</v>
      </c>
      <c r="C4" s="19" t="s">
        <v>969</v>
      </c>
      <c r="D4" s="19" t="s">
        <v>970</v>
      </c>
      <c r="E4" s="19" t="s">
        <v>971</v>
      </c>
      <c r="F4" s="19" t="s">
        <v>972</v>
      </c>
      <c r="G4" s="19" t="s">
        <v>973</v>
      </c>
      <c r="H4" s="19" t="s">
        <v>974</v>
      </c>
      <c r="I4" s="19" t="s">
        <v>975</v>
      </c>
      <c r="J4" s="19" t="s">
        <v>976</v>
      </c>
      <c r="K4" s="19" t="s">
        <v>9</v>
      </c>
      <c r="N4" s="0" t="n">
        <v>18</v>
      </c>
    </row>
    <row r="5" customFormat="false" ht="25.5" hidden="true" customHeight="true" outlineLevel="0" collapsed="false">
      <c r="A5" s="16" t="n">
        <v>1</v>
      </c>
      <c r="B5" s="16" t="s">
        <v>79</v>
      </c>
      <c r="C5" s="16" t="s">
        <v>977</v>
      </c>
      <c r="D5" s="16" t="s">
        <v>978</v>
      </c>
      <c r="E5" s="16" t="s">
        <v>979</v>
      </c>
      <c r="F5" s="16" t="s">
        <v>980</v>
      </c>
      <c r="G5" s="7" t="n">
        <v>0</v>
      </c>
      <c r="H5" s="16" t="s">
        <v>207</v>
      </c>
      <c r="I5" s="16" t="s">
        <v>182</v>
      </c>
      <c r="K5" s="0" t="s">
        <v>981</v>
      </c>
      <c r="M5" s="0" t="n">
        <f aca="false">59-21</f>
        <v>38</v>
      </c>
    </row>
    <row r="6" customFormat="false" ht="15" hidden="true" customHeight="false" outlineLevel="0" collapsed="false">
      <c r="A6" s="16" t="n">
        <v>2</v>
      </c>
      <c r="B6" s="16" t="s">
        <v>79</v>
      </c>
      <c r="C6" s="16" t="s">
        <v>982</v>
      </c>
      <c r="D6" s="16" t="s">
        <v>983</v>
      </c>
      <c r="E6" s="16" t="s">
        <v>984</v>
      </c>
      <c r="F6" s="16" t="s">
        <v>793</v>
      </c>
      <c r="G6" s="7" t="n">
        <v>0</v>
      </c>
      <c r="H6" s="16" t="s">
        <v>209</v>
      </c>
      <c r="I6" s="16" t="s">
        <v>198</v>
      </c>
      <c r="K6" s="0" t="s">
        <v>981</v>
      </c>
    </row>
    <row r="7" customFormat="false" ht="25.5" hidden="true" customHeight="true" outlineLevel="0" collapsed="false">
      <c r="A7" s="16" t="n">
        <v>3</v>
      </c>
      <c r="B7" s="16" t="s">
        <v>79</v>
      </c>
      <c r="C7" s="16" t="s">
        <v>982</v>
      </c>
      <c r="D7" s="16" t="s">
        <v>985</v>
      </c>
      <c r="E7" s="16" t="s">
        <v>979</v>
      </c>
      <c r="F7" s="16" t="s">
        <v>606</v>
      </c>
      <c r="G7" s="7" t="n">
        <v>6</v>
      </c>
      <c r="H7" s="16" t="s">
        <v>213</v>
      </c>
      <c r="I7" s="16" t="s">
        <v>184</v>
      </c>
      <c r="K7" s="0" t="s">
        <v>981</v>
      </c>
    </row>
    <row r="8" customFormat="false" ht="25.5" hidden="true" customHeight="true" outlineLevel="0" collapsed="false">
      <c r="A8" s="16" t="n">
        <v>4</v>
      </c>
      <c r="B8" s="16" t="s">
        <v>79</v>
      </c>
      <c r="C8" s="16" t="s">
        <v>986</v>
      </c>
      <c r="D8" s="16" t="s">
        <v>987</v>
      </c>
      <c r="E8" s="16" t="s">
        <v>984</v>
      </c>
      <c r="F8" s="16" t="s">
        <v>988</v>
      </c>
      <c r="G8" s="7"/>
      <c r="H8" s="16"/>
      <c r="I8" s="16"/>
      <c r="K8" s="0" t="s">
        <v>981</v>
      </c>
    </row>
    <row r="9" customFormat="false" ht="15" hidden="true" customHeight="false" outlineLevel="0" collapsed="false">
      <c r="A9" s="16" t="n">
        <v>5</v>
      </c>
      <c r="B9" s="16" t="s">
        <v>79</v>
      </c>
      <c r="C9" s="16" t="s">
        <v>989</v>
      </c>
      <c r="D9" s="16" t="s">
        <v>990</v>
      </c>
      <c r="E9" s="16" t="s">
        <v>984</v>
      </c>
      <c r="F9" s="16" t="s">
        <v>698</v>
      </c>
      <c r="G9" s="7" t="n">
        <v>1</v>
      </c>
      <c r="H9" s="16" t="s">
        <v>205</v>
      </c>
      <c r="I9" s="16" t="s">
        <v>196</v>
      </c>
      <c r="K9" s="0" t="s">
        <v>991</v>
      </c>
    </row>
    <row r="10" customFormat="false" ht="25.5" hidden="true" customHeight="true" outlineLevel="0" collapsed="false">
      <c r="A10" s="16" t="n">
        <v>6</v>
      </c>
      <c r="B10" s="16" t="s">
        <v>79</v>
      </c>
      <c r="C10" s="16" t="s">
        <v>992</v>
      </c>
      <c r="D10" s="16" t="s">
        <v>993</v>
      </c>
      <c r="E10" s="16" t="s">
        <v>984</v>
      </c>
      <c r="F10" s="16" t="s">
        <v>491</v>
      </c>
      <c r="G10" s="7" t="n">
        <v>425</v>
      </c>
      <c r="H10" s="16" t="s">
        <v>205</v>
      </c>
      <c r="I10" s="16" t="s">
        <v>196</v>
      </c>
      <c r="K10" s="0" t="s">
        <v>991</v>
      </c>
    </row>
    <row r="11" customFormat="false" ht="24.05" hidden="true" customHeight="false" outlineLevel="0" collapsed="false">
      <c r="A11" s="16" t="n">
        <v>7</v>
      </c>
      <c r="B11" s="16" t="s">
        <v>79</v>
      </c>
      <c r="C11" s="16" t="s">
        <v>992</v>
      </c>
      <c r="D11" s="16" t="s">
        <v>994</v>
      </c>
      <c r="E11" s="16" t="s">
        <v>984</v>
      </c>
      <c r="F11" s="16" t="s">
        <v>834</v>
      </c>
      <c r="G11" s="7" t="n">
        <v>0</v>
      </c>
      <c r="H11" s="16" t="s">
        <v>205</v>
      </c>
      <c r="I11" s="16" t="s">
        <v>196</v>
      </c>
      <c r="K11" s="0" t="s">
        <v>991</v>
      </c>
    </row>
    <row r="12" customFormat="false" ht="15" hidden="true" customHeight="false" outlineLevel="0" collapsed="false">
      <c r="A12" s="16" t="n">
        <v>8</v>
      </c>
      <c r="B12" s="16" t="s">
        <v>79</v>
      </c>
      <c r="C12" s="16" t="s">
        <v>995</v>
      </c>
      <c r="D12" s="16" t="s">
        <v>996</v>
      </c>
      <c r="E12" s="16" t="s">
        <v>979</v>
      </c>
      <c r="F12" s="16" t="s">
        <v>806</v>
      </c>
      <c r="G12" s="7" t="n">
        <v>0</v>
      </c>
      <c r="H12" s="16" t="s">
        <v>209</v>
      </c>
      <c r="I12" s="16" t="s">
        <v>198</v>
      </c>
      <c r="K12" s="0" t="s">
        <v>981</v>
      </c>
    </row>
    <row r="13" customFormat="false" ht="25.5" hidden="true" customHeight="true" outlineLevel="0" collapsed="false">
      <c r="A13" s="16" t="n">
        <v>9</v>
      </c>
      <c r="B13" s="16" t="s">
        <v>79</v>
      </c>
      <c r="C13" s="16" t="s">
        <v>997</v>
      </c>
      <c r="D13" s="16" t="s">
        <v>998</v>
      </c>
      <c r="E13" s="16" t="s">
        <v>999</v>
      </c>
      <c r="F13" s="16" t="s">
        <v>790</v>
      </c>
      <c r="G13" s="7" t="n">
        <v>0</v>
      </c>
      <c r="H13" s="16" t="s">
        <v>209</v>
      </c>
      <c r="I13" s="16" t="s">
        <v>198</v>
      </c>
      <c r="K13" s="0" t="s">
        <v>991</v>
      </c>
    </row>
    <row r="14" customFormat="false" ht="25.5" hidden="true" customHeight="true" outlineLevel="0" collapsed="false">
      <c r="A14" s="16" t="n">
        <v>10</v>
      </c>
      <c r="B14" s="16" t="s">
        <v>79</v>
      </c>
      <c r="C14" s="16" t="s">
        <v>997</v>
      </c>
      <c r="D14" s="16" t="s">
        <v>1000</v>
      </c>
      <c r="E14" s="16" t="s">
        <v>979</v>
      </c>
      <c r="F14" s="16" t="s">
        <v>599</v>
      </c>
      <c r="G14" s="7" t="n">
        <v>6</v>
      </c>
      <c r="H14" s="16" t="s">
        <v>209</v>
      </c>
      <c r="I14" s="16" t="s">
        <v>198</v>
      </c>
      <c r="K14" s="0" t="s">
        <v>991</v>
      </c>
    </row>
    <row r="15" customFormat="false" ht="15" hidden="true" customHeight="false" outlineLevel="0" collapsed="false">
      <c r="A15" s="16" t="n">
        <v>11</v>
      </c>
      <c r="B15" s="16" t="s">
        <v>79</v>
      </c>
      <c r="C15" s="16" t="s">
        <v>1001</v>
      </c>
      <c r="D15" s="16" t="s">
        <v>1002</v>
      </c>
      <c r="E15" s="16" t="s">
        <v>979</v>
      </c>
      <c r="F15" s="16" t="s">
        <v>729</v>
      </c>
      <c r="G15" s="7" t="n">
        <v>1</v>
      </c>
      <c r="H15" s="16" t="s">
        <v>213</v>
      </c>
      <c r="I15" s="16" t="s">
        <v>184</v>
      </c>
      <c r="K15" s="0" t="s">
        <v>991</v>
      </c>
    </row>
    <row r="16" customFormat="false" ht="51" hidden="true" customHeight="true" outlineLevel="0" collapsed="false">
      <c r="A16" s="16" t="n">
        <v>12</v>
      </c>
      <c r="B16" s="16" t="s">
        <v>79</v>
      </c>
      <c r="C16" s="16" t="s">
        <v>1003</v>
      </c>
      <c r="D16" s="16" t="s">
        <v>1004</v>
      </c>
      <c r="E16" s="16" t="s">
        <v>999</v>
      </c>
      <c r="F16" s="16" t="s">
        <v>1005</v>
      </c>
      <c r="G16" s="7" t="n">
        <v>6</v>
      </c>
      <c r="H16" s="16" t="s">
        <v>205</v>
      </c>
      <c r="I16" s="16" t="s">
        <v>196</v>
      </c>
      <c r="K16" s="0" t="s">
        <v>991</v>
      </c>
    </row>
    <row r="17" customFormat="false" ht="51" hidden="true" customHeight="true" outlineLevel="0" collapsed="false">
      <c r="A17" s="16" t="n">
        <v>13</v>
      </c>
      <c r="B17" s="16" t="s">
        <v>79</v>
      </c>
      <c r="C17" s="16" t="s">
        <v>1003</v>
      </c>
      <c r="D17" s="16" t="s">
        <v>1006</v>
      </c>
      <c r="E17" s="16" t="s">
        <v>999</v>
      </c>
      <c r="F17" s="16" t="s">
        <v>1005</v>
      </c>
      <c r="G17" s="7" t="n">
        <v>6</v>
      </c>
      <c r="H17" s="16" t="s">
        <v>205</v>
      </c>
      <c r="I17" s="16" t="s">
        <v>196</v>
      </c>
      <c r="K17" s="0" t="s">
        <v>981</v>
      </c>
    </row>
    <row r="18" customFormat="false" ht="25.5" hidden="false" customHeight="true" outlineLevel="0" collapsed="false">
      <c r="A18" s="16" t="n">
        <v>14</v>
      </c>
      <c r="B18" s="16" t="s">
        <v>79</v>
      </c>
      <c r="C18" s="16" t="s">
        <v>1007</v>
      </c>
      <c r="D18" s="16" t="s">
        <v>1008</v>
      </c>
      <c r="E18" s="16" t="s">
        <v>984</v>
      </c>
      <c r="F18" s="16" t="s">
        <v>1009</v>
      </c>
      <c r="G18" s="7" t="n">
        <v>66</v>
      </c>
      <c r="H18" s="16" t="s">
        <v>205</v>
      </c>
      <c r="I18" s="16" t="s">
        <v>196</v>
      </c>
      <c r="J18" s="0" t="s">
        <v>1010</v>
      </c>
    </row>
    <row r="19" customFormat="false" ht="38.25" hidden="true" customHeight="true" outlineLevel="0" collapsed="false">
      <c r="A19" s="16" t="n">
        <v>15</v>
      </c>
      <c r="B19" s="16" t="s">
        <v>79</v>
      </c>
      <c r="C19" s="16" t="s">
        <v>1011</v>
      </c>
      <c r="D19" s="16" t="s">
        <v>1012</v>
      </c>
      <c r="E19" s="16" t="s">
        <v>999</v>
      </c>
      <c r="F19" s="16" t="s">
        <v>1013</v>
      </c>
      <c r="G19" s="7" t="n">
        <v>0</v>
      </c>
      <c r="H19" s="16" t="s">
        <v>207</v>
      </c>
      <c r="I19" s="16" t="s">
        <v>182</v>
      </c>
      <c r="K19" s="0" t="s">
        <v>981</v>
      </c>
    </row>
    <row r="20" customFormat="false" ht="25.5" hidden="false" customHeight="true" outlineLevel="0" collapsed="false">
      <c r="A20" s="16" t="n">
        <v>16</v>
      </c>
      <c r="B20" s="16" t="s">
        <v>79</v>
      </c>
      <c r="C20" s="16" t="s">
        <v>1014</v>
      </c>
      <c r="D20" s="16" t="s">
        <v>1015</v>
      </c>
      <c r="E20" s="16" t="s">
        <v>984</v>
      </c>
      <c r="F20" s="16" t="s">
        <v>597</v>
      </c>
      <c r="G20" s="7" t="n">
        <v>7</v>
      </c>
      <c r="H20" s="16" t="s">
        <v>205</v>
      </c>
      <c r="I20" s="16" t="s">
        <v>196</v>
      </c>
      <c r="J20" s="0" t="s">
        <v>1010</v>
      </c>
    </row>
    <row r="21" customFormat="false" ht="51" hidden="true" customHeight="true" outlineLevel="0" collapsed="false">
      <c r="A21" s="16" t="n">
        <v>17</v>
      </c>
      <c r="B21" s="16" t="s">
        <v>79</v>
      </c>
      <c r="C21" s="16" t="s">
        <v>1016</v>
      </c>
      <c r="D21" s="16" t="s">
        <v>1017</v>
      </c>
      <c r="E21" s="16" t="s">
        <v>999</v>
      </c>
      <c r="F21" s="16" t="s">
        <v>1018</v>
      </c>
      <c r="G21" s="7" t="n">
        <v>8</v>
      </c>
      <c r="H21" s="16" t="s">
        <v>207</v>
      </c>
      <c r="I21" s="16" t="s">
        <v>182</v>
      </c>
      <c r="K21" s="0" t="s">
        <v>981</v>
      </c>
    </row>
    <row r="22" customFormat="false" ht="25.5" hidden="true" customHeight="true" outlineLevel="0" collapsed="false">
      <c r="A22" s="16" t="n">
        <v>18</v>
      </c>
      <c r="B22" s="16" t="s">
        <v>81</v>
      </c>
      <c r="C22" s="16" t="s">
        <v>1019</v>
      </c>
      <c r="D22" s="16" t="s">
        <v>1020</v>
      </c>
      <c r="E22" s="16" t="s">
        <v>984</v>
      </c>
      <c r="F22" s="16" t="s">
        <v>1021</v>
      </c>
      <c r="G22" s="7" t="n">
        <v>396</v>
      </c>
      <c r="H22" s="16" t="s">
        <v>211</v>
      </c>
      <c r="I22" s="16" t="s">
        <v>186</v>
      </c>
      <c r="K22" s="0" t="s">
        <v>991</v>
      </c>
    </row>
    <row r="23" customFormat="false" ht="15" hidden="true" customHeight="false" outlineLevel="0" collapsed="false">
      <c r="A23" s="16" t="n">
        <v>19</v>
      </c>
      <c r="B23" s="16" t="s">
        <v>81</v>
      </c>
      <c r="C23" s="16" t="s">
        <v>1022</v>
      </c>
      <c r="D23" s="16" t="s">
        <v>1023</v>
      </c>
      <c r="E23" s="16" t="s">
        <v>984</v>
      </c>
      <c r="F23" s="16" t="s">
        <v>499</v>
      </c>
      <c r="G23" s="7" t="n">
        <v>396</v>
      </c>
      <c r="H23" s="16" t="s">
        <v>211</v>
      </c>
      <c r="I23" s="16" t="s">
        <v>186</v>
      </c>
      <c r="K23" s="0" t="s">
        <v>991</v>
      </c>
    </row>
    <row r="24" customFormat="false" ht="15" hidden="true" customHeight="false" outlineLevel="0" collapsed="false">
      <c r="A24" s="16" t="n">
        <v>20</v>
      </c>
      <c r="B24" s="16" t="s">
        <v>81</v>
      </c>
      <c r="C24" s="16" t="s">
        <v>1024</v>
      </c>
      <c r="D24" s="16" t="s">
        <v>1025</v>
      </c>
      <c r="E24" s="16" t="s">
        <v>979</v>
      </c>
      <c r="F24" s="16" t="s">
        <v>988</v>
      </c>
      <c r="G24" s="7"/>
      <c r="H24" s="16"/>
      <c r="I24" s="16"/>
      <c r="K24" s="0" t="s">
        <v>991</v>
      </c>
    </row>
    <row r="25" customFormat="false" ht="15" hidden="false" customHeight="false" outlineLevel="0" collapsed="false">
      <c r="A25" s="16" t="n">
        <v>21</v>
      </c>
      <c r="B25" s="16" t="s">
        <v>81</v>
      </c>
      <c r="C25" s="16" t="s">
        <v>1026</v>
      </c>
      <c r="D25" s="16" t="s">
        <v>1027</v>
      </c>
      <c r="E25" s="16" t="s">
        <v>999</v>
      </c>
      <c r="F25" s="16" t="s">
        <v>714</v>
      </c>
      <c r="G25" s="7" t="n">
        <v>1</v>
      </c>
      <c r="H25" s="16" t="s">
        <v>205</v>
      </c>
      <c r="I25" s="16" t="s">
        <v>196</v>
      </c>
      <c r="J25" s="0" t="s">
        <v>1010</v>
      </c>
    </row>
    <row r="26" customFormat="false" ht="15" hidden="false" customHeight="false" outlineLevel="0" collapsed="false">
      <c r="A26" s="16" t="n">
        <v>22</v>
      </c>
      <c r="B26" s="16" t="s">
        <v>81</v>
      </c>
      <c r="C26" s="16" t="s">
        <v>1028</v>
      </c>
      <c r="D26" s="16" t="s">
        <v>1029</v>
      </c>
      <c r="E26" s="16" t="s">
        <v>984</v>
      </c>
      <c r="F26" s="16" t="s">
        <v>988</v>
      </c>
      <c r="G26" s="7"/>
      <c r="H26" s="16"/>
      <c r="I26" s="16"/>
      <c r="J26" s="0" t="s">
        <v>1010</v>
      </c>
    </row>
    <row r="27" customFormat="false" ht="38.25" hidden="false" customHeight="true" outlineLevel="0" collapsed="false">
      <c r="A27" s="16" t="n">
        <v>23</v>
      </c>
      <c r="B27" s="16" t="s">
        <v>81</v>
      </c>
      <c r="C27" s="16" t="s">
        <v>1030</v>
      </c>
      <c r="D27" s="16" t="s">
        <v>1031</v>
      </c>
      <c r="E27" s="16" t="s">
        <v>999</v>
      </c>
      <c r="F27" s="16" t="s">
        <v>1032</v>
      </c>
      <c r="G27" s="7" t="n">
        <v>1134</v>
      </c>
      <c r="H27" s="16" t="s">
        <v>211</v>
      </c>
      <c r="I27" s="16" t="s">
        <v>194</v>
      </c>
      <c r="J27" s="0" t="s">
        <v>1010</v>
      </c>
    </row>
    <row r="28" customFormat="false" ht="15" hidden="true" customHeight="false" outlineLevel="0" collapsed="false">
      <c r="A28" s="16" t="n">
        <v>24</v>
      </c>
      <c r="B28" s="16" t="s">
        <v>83</v>
      </c>
      <c r="C28" s="16" t="s">
        <v>1033</v>
      </c>
      <c r="D28" s="16" t="s">
        <v>1034</v>
      </c>
      <c r="E28" s="16" t="s">
        <v>999</v>
      </c>
      <c r="F28" s="16" t="s">
        <v>718</v>
      </c>
      <c r="G28" s="7" t="n">
        <v>1</v>
      </c>
      <c r="H28" s="16" t="s">
        <v>205</v>
      </c>
      <c r="I28" s="16" t="s">
        <v>196</v>
      </c>
      <c r="K28" s="0" t="s">
        <v>981</v>
      </c>
    </row>
    <row r="29" customFormat="false" ht="15" hidden="true" customHeight="false" outlineLevel="0" collapsed="false">
      <c r="A29" s="16" t="n">
        <v>25</v>
      </c>
      <c r="B29" s="16" t="s">
        <v>83</v>
      </c>
      <c r="C29" s="16" t="s">
        <v>1035</v>
      </c>
      <c r="D29" s="16" t="s">
        <v>1036</v>
      </c>
      <c r="E29" s="16" t="s">
        <v>984</v>
      </c>
      <c r="F29" s="16" t="s">
        <v>888</v>
      </c>
      <c r="G29" s="7" t="n">
        <v>0</v>
      </c>
      <c r="H29" s="16" t="s">
        <v>207</v>
      </c>
      <c r="I29" s="16" t="s">
        <v>182</v>
      </c>
      <c r="K29" s="0" t="s">
        <v>981</v>
      </c>
    </row>
    <row r="30" customFormat="false" ht="25.5" hidden="true" customHeight="true" outlineLevel="0" collapsed="false">
      <c r="A30" s="16" t="n">
        <v>26</v>
      </c>
      <c r="B30" s="16" t="s">
        <v>83</v>
      </c>
      <c r="C30" s="16" t="s">
        <v>1037</v>
      </c>
      <c r="D30" s="16" t="s">
        <v>1038</v>
      </c>
      <c r="E30" s="16" t="s">
        <v>984</v>
      </c>
      <c r="F30" s="16" t="s">
        <v>1039</v>
      </c>
      <c r="G30" s="7" t="n">
        <v>0</v>
      </c>
      <c r="H30" s="16" t="s">
        <v>213</v>
      </c>
      <c r="I30" s="16" t="s">
        <v>184</v>
      </c>
      <c r="K30" s="0" t="s">
        <v>981</v>
      </c>
    </row>
    <row r="31" customFormat="false" ht="25.5" hidden="true" customHeight="true" outlineLevel="0" collapsed="false">
      <c r="A31" s="16" t="n">
        <v>27</v>
      </c>
      <c r="B31" s="16" t="s">
        <v>83</v>
      </c>
      <c r="C31" s="16" t="s">
        <v>1040</v>
      </c>
      <c r="D31" s="16" t="s">
        <v>1041</v>
      </c>
      <c r="E31" s="16" t="s">
        <v>999</v>
      </c>
      <c r="F31" s="16" t="s">
        <v>988</v>
      </c>
      <c r="G31" s="7"/>
      <c r="H31" s="16"/>
      <c r="I31" s="16"/>
      <c r="K31" s="0" t="s">
        <v>991</v>
      </c>
    </row>
    <row r="32" customFormat="false" ht="15" hidden="true" customHeight="false" outlineLevel="0" collapsed="false">
      <c r="A32" s="16" t="n">
        <v>28</v>
      </c>
      <c r="B32" s="16" t="s">
        <v>83</v>
      </c>
      <c r="C32" s="16" t="s">
        <v>1042</v>
      </c>
      <c r="D32" s="16" t="s">
        <v>1043</v>
      </c>
      <c r="E32" s="16" t="s">
        <v>999</v>
      </c>
      <c r="F32" s="16" t="s">
        <v>921</v>
      </c>
      <c r="G32" s="7" t="n">
        <v>0</v>
      </c>
      <c r="H32" s="16" t="s">
        <v>213</v>
      </c>
      <c r="I32" s="16" t="s">
        <v>184</v>
      </c>
      <c r="K32" s="0" t="s">
        <v>991</v>
      </c>
    </row>
    <row r="33" customFormat="false" ht="25.5" hidden="false" customHeight="true" outlineLevel="0" collapsed="false">
      <c r="A33" s="16" t="n">
        <v>29</v>
      </c>
      <c r="B33" s="16" t="s">
        <v>83</v>
      </c>
      <c r="C33" s="16" t="s">
        <v>1044</v>
      </c>
      <c r="D33" s="16" t="s">
        <v>1045</v>
      </c>
      <c r="E33" s="16" t="s">
        <v>999</v>
      </c>
      <c r="F33" s="16" t="s">
        <v>988</v>
      </c>
      <c r="G33" s="7"/>
      <c r="H33" s="16"/>
      <c r="I33" s="16"/>
      <c r="J33" s="0" t="s">
        <v>1010</v>
      </c>
    </row>
    <row r="34" customFormat="false" ht="15" hidden="false" customHeight="false" outlineLevel="0" collapsed="false">
      <c r="A34" s="16" t="n">
        <v>30</v>
      </c>
      <c r="B34" s="16" t="s">
        <v>83</v>
      </c>
      <c r="C34" s="16" t="s">
        <v>1026</v>
      </c>
      <c r="D34" s="16" t="s">
        <v>1046</v>
      </c>
      <c r="E34" s="16" t="s">
        <v>999</v>
      </c>
      <c r="F34" s="16" t="s">
        <v>667</v>
      </c>
      <c r="G34" s="7" t="n">
        <v>2</v>
      </c>
      <c r="H34" s="16" t="s">
        <v>205</v>
      </c>
      <c r="I34" s="16" t="s">
        <v>196</v>
      </c>
      <c r="J34" s="0" t="s">
        <v>1010</v>
      </c>
    </row>
    <row r="35" customFormat="false" ht="38.25" hidden="false" customHeight="true" outlineLevel="0" collapsed="false">
      <c r="A35" s="16" t="n">
        <v>31</v>
      </c>
      <c r="B35" s="16" t="s">
        <v>83</v>
      </c>
      <c r="C35" s="16" t="s">
        <v>1030</v>
      </c>
      <c r="D35" s="16" t="s">
        <v>1047</v>
      </c>
      <c r="E35" s="16" t="s">
        <v>999</v>
      </c>
      <c r="F35" s="16" t="s">
        <v>1048</v>
      </c>
      <c r="G35" s="7" t="n">
        <v>1535</v>
      </c>
      <c r="H35" s="16" t="s">
        <v>211</v>
      </c>
      <c r="I35" s="16" t="s">
        <v>194</v>
      </c>
      <c r="J35" s="0" t="s">
        <v>1010</v>
      </c>
    </row>
    <row r="36" customFormat="false" ht="38.25" hidden="false" customHeight="true" outlineLevel="0" collapsed="false">
      <c r="A36" s="16" t="n">
        <v>32</v>
      </c>
      <c r="B36" s="16" t="s">
        <v>83</v>
      </c>
      <c r="C36" s="16" t="s">
        <v>1049</v>
      </c>
      <c r="D36" s="16" t="s">
        <v>1050</v>
      </c>
      <c r="E36" s="16" t="s">
        <v>984</v>
      </c>
      <c r="F36" s="16" t="s">
        <v>1051</v>
      </c>
      <c r="G36" s="7" t="n">
        <v>2031</v>
      </c>
      <c r="H36" s="16" t="s">
        <v>219</v>
      </c>
      <c r="I36" s="16" t="s">
        <v>184</v>
      </c>
      <c r="J36" s="0" t="s">
        <v>1010</v>
      </c>
    </row>
    <row r="37" customFormat="false" ht="25.5" hidden="false" customHeight="true" outlineLevel="0" collapsed="false">
      <c r="A37" s="16" t="n">
        <v>33</v>
      </c>
      <c r="B37" s="16" t="s">
        <v>83</v>
      </c>
      <c r="C37" s="16" t="s">
        <v>1028</v>
      </c>
      <c r="D37" s="16" t="s">
        <v>1052</v>
      </c>
      <c r="E37" s="16" t="s">
        <v>984</v>
      </c>
      <c r="F37" s="16" t="s">
        <v>1053</v>
      </c>
      <c r="G37" s="7" t="n">
        <v>6758</v>
      </c>
      <c r="H37" s="16" t="s">
        <v>213</v>
      </c>
      <c r="I37" s="16" t="s">
        <v>184</v>
      </c>
      <c r="J37" s="0" t="s">
        <v>1010</v>
      </c>
    </row>
    <row r="38" customFormat="false" ht="15" hidden="true" customHeight="false" outlineLevel="0" collapsed="false">
      <c r="A38" s="16" t="n">
        <v>34</v>
      </c>
      <c r="B38" s="16" t="s">
        <v>83</v>
      </c>
      <c r="C38" s="16" t="s">
        <v>1054</v>
      </c>
      <c r="D38" s="16" t="s">
        <v>1055</v>
      </c>
      <c r="E38" s="16" t="s">
        <v>999</v>
      </c>
      <c r="F38" s="16" t="s">
        <v>531</v>
      </c>
      <c r="G38" s="7" t="n">
        <v>75</v>
      </c>
      <c r="H38" s="16" t="s">
        <v>205</v>
      </c>
      <c r="I38" s="16" t="s">
        <v>196</v>
      </c>
      <c r="K38" s="0" t="s">
        <v>991</v>
      </c>
    </row>
    <row r="39" customFormat="false" ht="63.75" hidden="true" customHeight="true" outlineLevel="0" collapsed="false">
      <c r="A39" s="16" t="n">
        <v>35</v>
      </c>
      <c r="B39" s="16" t="s">
        <v>83</v>
      </c>
      <c r="C39" s="16" t="s">
        <v>1056</v>
      </c>
      <c r="D39" s="16" t="s">
        <v>1057</v>
      </c>
      <c r="E39" s="16" t="s">
        <v>999</v>
      </c>
      <c r="F39" s="16" t="s">
        <v>1058</v>
      </c>
      <c r="G39" s="7" t="n">
        <v>10186</v>
      </c>
      <c r="H39" s="16" t="s">
        <v>211</v>
      </c>
      <c r="I39" s="16" t="s">
        <v>194</v>
      </c>
      <c r="K39" s="0" t="s">
        <v>991</v>
      </c>
    </row>
    <row r="40" customFormat="false" ht="15" hidden="true" customHeight="false" outlineLevel="0" collapsed="false">
      <c r="A40" s="16" t="n">
        <v>36</v>
      </c>
      <c r="B40" s="16" t="s">
        <v>83</v>
      </c>
      <c r="C40" s="16" t="s">
        <v>1033</v>
      </c>
      <c r="D40" s="16" t="s">
        <v>1059</v>
      </c>
      <c r="E40" s="16" t="s">
        <v>979</v>
      </c>
      <c r="F40" s="16" t="s">
        <v>874</v>
      </c>
      <c r="G40" s="7" t="n">
        <v>0</v>
      </c>
      <c r="H40" s="16" t="s">
        <v>213</v>
      </c>
      <c r="I40" s="16" t="s">
        <v>184</v>
      </c>
      <c r="K40" s="0" t="s">
        <v>991</v>
      </c>
    </row>
    <row r="41" customFormat="false" ht="15" hidden="true" customHeight="false" outlineLevel="0" collapsed="false">
      <c r="A41" s="16" t="n">
        <v>37</v>
      </c>
      <c r="B41" s="16" t="s">
        <v>85</v>
      </c>
      <c r="C41" s="16" t="s">
        <v>1060</v>
      </c>
      <c r="D41" s="16" t="s">
        <v>1061</v>
      </c>
      <c r="E41" s="16" t="s">
        <v>984</v>
      </c>
      <c r="F41" s="16" t="s">
        <v>447</v>
      </c>
      <c r="G41" s="7" t="n">
        <v>1091</v>
      </c>
      <c r="H41" s="16" t="s">
        <v>217</v>
      </c>
      <c r="I41" s="16" t="s">
        <v>184</v>
      </c>
      <c r="K41" s="0" t="s">
        <v>991</v>
      </c>
    </row>
    <row r="42" customFormat="false" ht="25.5" hidden="false" customHeight="true" outlineLevel="0" collapsed="false">
      <c r="A42" s="16" t="n">
        <v>38</v>
      </c>
      <c r="B42" s="16" t="s">
        <v>85</v>
      </c>
      <c r="C42" s="16" t="s">
        <v>1049</v>
      </c>
      <c r="D42" s="16" t="s">
        <v>1062</v>
      </c>
      <c r="E42" s="16" t="s">
        <v>984</v>
      </c>
      <c r="F42" s="16" t="s">
        <v>1063</v>
      </c>
      <c r="G42" s="7" t="n">
        <v>1271</v>
      </c>
      <c r="H42" s="16" t="s">
        <v>219</v>
      </c>
      <c r="I42" s="16" t="s">
        <v>184</v>
      </c>
      <c r="J42" s="0" t="s">
        <v>1010</v>
      </c>
    </row>
    <row r="43" customFormat="false" ht="38.25" hidden="false" customHeight="true" outlineLevel="0" collapsed="false">
      <c r="A43" s="16" t="n">
        <v>39</v>
      </c>
      <c r="B43" s="16" t="s">
        <v>85</v>
      </c>
      <c r="C43" s="16" t="s">
        <v>1064</v>
      </c>
      <c r="D43" s="16" t="s">
        <v>1065</v>
      </c>
      <c r="E43" s="16" t="s">
        <v>999</v>
      </c>
      <c r="F43" s="16" t="s">
        <v>1066</v>
      </c>
      <c r="G43" s="7" t="n">
        <v>10612</v>
      </c>
      <c r="H43" s="16" t="s">
        <v>219</v>
      </c>
      <c r="I43" s="16" t="s">
        <v>184</v>
      </c>
      <c r="J43" s="0" t="s">
        <v>1010</v>
      </c>
    </row>
    <row r="44" customFormat="false" ht="15" hidden="true" customHeight="false" outlineLevel="0" collapsed="false">
      <c r="A44" s="16" t="n">
        <v>40</v>
      </c>
      <c r="B44" s="16" t="s">
        <v>85</v>
      </c>
      <c r="C44" s="16" t="s">
        <v>1067</v>
      </c>
      <c r="D44" s="16" t="s">
        <v>1068</v>
      </c>
      <c r="E44" s="16" t="s">
        <v>984</v>
      </c>
      <c r="F44" s="16" t="s">
        <v>487</v>
      </c>
      <c r="G44" s="7" t="n">
        <v>432</v>
      </c>
      <c r="H44" s="16" t="s">
        <v>215</v>
      </c>
      <c r="I44" s="16" t="s">
        <v>184</v>
      </c>
      <c r="K44" s="0" t="s">
        <v>991</v>
      </c>
    </row>
    <row r="45" customFormat="false" ht="15" hidden="false" customHeight="false" outlineLevel="0" collapsed="false">
      <c r="A45" s="16" t="n">
        <v>41</v>
      </c>
      <c r="B45" s="16" t="s">
        <v>87</v>
      </c>
      <c r="C45" s="16" t="s">
        <v>1069</v>
      </c>
      <c r="D45" s="16" t="s">
        <v>1062</v>
      </c>
      <c r="E45" s="16" t="s">
        <v>984</v>
      </c>
      <c r="F45" s="16" t="s">
        <v>722</v>
      </c>
      <c r="G45" s="7" t="n">
        <v>1</v>
      </c>
      <c r="H45" s="16" t="s">
        <v>205</v>
      </c>
      <c r="I45" s="16" t="s">
        <v>196</v>
      </c>
      <c r="J45" s="0" t="s">
        <v>1010</v>
      </c>
    </row>
    <row r="46" customFormat="false" ht="25.5" hidden="false" customHeight="true" outlineLevel="0" collapsed="false">
      <c r="A46" s="16" t="n">
        <v>42</v>
      </c>
      <c r="B46" s="16" t="s">
        <v>87</v>
      </c>
      <c r="C46" s="16" t="s">
        <v>1070</v>
      </c>
      <c r="D46" s="16" t="s">
        <v>1071</v>
      </c>
      <c r="E46" s="16" t="s">
        <v>999</v>
      </c>
      <c r="F46" s="16" t="s">
        <v>1072</v>
      </c>
      <c r="G46" s="7" t="n">
        <v>0</v>
      </c>
      <c r="H46" s="16" t="s">
        <v>213</v>
      </c>
      <c r="I46" s="16" t="s">
        <v>184</v>
      </c>
      <c r="J46" s="0" t="s">
        <v>1010</v>
      </c>
    </row>
    <row r="47" customFormat="false" ht="38.25" hidden="true" customHeight="true" outlineLevel="0" collapsed="false">
      <c r="A47" s="16" t="n">
        <v>43</v>
      </c>
      <c r="B47" s="16" t="s">
        <v>89</v>
      </c>
      <c r="C47" s="16" t="s">
        <v>1073</v>
      </c>
      <c r="D47" s="16" t="s">
        <v>1074</v>
      </c>
      <c r="E47" s="16" t="s">
        <v>999</v>
      </c>
      <c r="F47" s="16" t="s">
        <v>1075</v>
      </c>
      <c r="G47" s="7" t="n">
        <v>123</v>
      </c>
      <c r="H47" s="16" t="s">
        <v>211</v>
      </c>
      <c r="I47" s="16" t="s">
        <v>194</v>
      </c>
      <c r="K47" s="0" t="s">
        <v>981</v>
      </c>
    </row>
    <row r="48" customFormat="false" ht="25.5" hidden="false" customHeight="true" outlineLevel="0" collapsed="false">
      <c r="A48" s="16" t="n">
        <v>44</v>
      </c>
      <c r="B48" s="16" t="s">
        <v>89</v>
      </c>
      <c r="C48" s="16" t="s">
        <v>1076</v>
      </c>
      <c r="D48" s="16" t="s">
        <v>1077</v>
      </c>
      <c r="E48" s="16" t="s">
        <v>984</v>
      </c>
      <c r="F48" s="16" t="s">
        <v>460</v>
      </c>
      <c r="G48" s="7" t="n">
        <v>642</v>
      </c>
      <c r="H48" s="16" t="s">
        <v>205</v>
      </c>
      <c r="I48" s="16" t="s">
        <v>196</v>
      </c>
      <c r="J48" s="0" t="s">
        <v>1010</v>
      </c>
    </row>
    <row r="49" customFormat="false" ht="51" hidden="true" customHeight="true" outlineLevel="0" collapsed="false">
      <c r="A49" s="16" t="n">
        <v>45</v>
      </c>
      <c r="B49" s="16" t="s">
        <v>89</v>
      </c>
      <c r="C49" s="16" t="s">
        <v>1078</v>
      </c>
      <c r="D49" s="16" t="s">
        <v>1079</v>
      </c>
      <c r="E49" s="16" t="s">
        <v>984</v>
      </c>
      <c r="F49" s="16" t="s">
        <v>1080</v>
      </c>
      <c r="G49" s="7" t="n">
        <v>29</v>
      </c>
      <c r="H49" s="16" t="s">
        <v>213</v>
      </c>
      <c r="I49" s="16" t="s">
        <v>184</v>
      </c>
      <c r="K49" s="0" t="s">
        <v>981</v>
      </c>
    </row>
    <row r="50" customFormat="false" ht="51" hidden="true" customHeight="true" outlineLevel="0" collapsed="false">
      <c r="A50" s="16" t="n">
        <v>46</v>
      </c>
      <c r="B50" s="16" t="s">
        <v>91</v>
      </c>
      <c r="C50" s="16" t="s">
        <v>1078</v>
      </c>
      <c r="D50" s="16" t="s">
        <v>1081</v>
      </c>
      <c r="E50" s="16" t="s">
        <v>984</v>
      </c>
      <c r="F50" s="16" t="s">
        <v>1082</v>
      </c>
      <c r="G50" s="7" t="n">
        <v>29</v>
      </c>
      <c r="H50" s="16" t="s">
        <v>213</v>
      </c>
      <c r="I50" s="16" t="s">
        <v>184</v>
      </c>
      <c r="K50" s="0" t="s">
        <v>981</v>
      </c>
    </row>
    <row r="51" customFormat="false" ht="38.25" hidden="false" customHeight="true" outlineLevel="0" collapsed="false">
      <c r="A51" s="16" t="n">
        <v>47</v>
      </c>
      <c r="B51" s="16" t="s">
        <v>91</v>
      </c>
      <c r="C51" s="16" t="s">
        <v>1083</v>
      </c>
      <c r="D51" s="16" t="s">
        <v>1084</v>
      </c>
      <c r="E51" s="16" t="s">
        <v>984</v>
      </c>
      <c r="F51" s="16" t="s">
        <v>1085</v>
      </c>
      <c r="G51" s="7" t="n">
        <v>7258</v>
      </c>
      <c r="H51" s="16" t="s">
        <v>205</v>
      </c>
      <c r="I51" s="16" t="s">
        <v>196</v>
      </c>
      <c r="J51" s="0" t="s">
        <v>1010</v>
      </c>
    </row>
    <row r="52" customFormat="false" ht="25.5" hidden="true" customHeight="true" outlineLevel="0" collapsed="false">
      <c r="A52" s="16" t="n">
        <v>48</v>
      </c>
      <c r="B52" s="16" t="s">
        <v>91</v>
      </c>
      <c r="C52" s="16" t="s">
        <v>1086</v>
      </c>
      <c r="D52" s="16" t="s">
        <v>1087</v>
      </c>
      <c r="E52" s="16" t="s">
        <v>999</v>
      </c>
      <c r="F52" s="16" t="s">
        <v>935</v>
      </c>
      <c r="G52" s="7" t="n">
        <v>0</v>
      </c>
      <c r="H52" s="16" t="s">
        <v>205</v>
      </c>
      <c r="I52" s="16" t="s">
        <v>196</v>
      </c>
      <c r="K52" s="0" t="s">
        <v>981</v>
      </c>
    </row>
    <row r="53" customFormat="false" ht="15" hidden="true" customHeight="false" outlineLevel="0" collapsed="false">
      <c r="A53" s="16" t="n">
        <v>49</v>
      </c>
      <c r="B53" s="16" t="s">
        <v>93</v>
      </c>
      <c r="C53" s="16" t="s">
        <v>1078</v>
      </c>
      <c r="D53" s="16" t="s">
        <v>1081</v>
      </c>
      <c r="E53" s="16" t="s">
        <v>984</v>
      </c>
      <c r="F53" s="16" t="s">
        <v>988</v>
      </c>
      <c r="G53" s="7"/>
      <c r="H53" s="16"/>
      <c r="I53" s="16"/>
      <c r="K53" s="0" t="s">
        <v>981</v>
      </c>
    </row>
    <row r="54" customFormat="false" ht="15" hidden="true" customHeight="false" outlineLevel="0" collapsed="false">
      <c r="A54" s="16" t="n">
        <v>50</v>
      </c>
      <c r="B54" s="16" t="s">
        <v>93</v>
      </c>
      <c r="C54" s="16" t="s">
        <v>1001</v>
      </c>
      <c r="D54" s="16" t="s">
        <v>1088</v>
      </c>
      <c r="E54" s="16" t="s">
        <v>999</v>
      </c>
      <c r="F54" s="16" t="s">
        <v>988</v>
      </c>
      <c r="G54" s="7"/>
      <c r="H54" s="16"/>
      <c r="I54" s="16"/>
      <c r="K54" s="0" t="s">
        <v>991</v>
      </c>
    </row>
    <row r="55" customFormat="false" ht="15" hidden="true" customHeight="false" outlineLevel="0" collapsed="false">
      <c r="A55" s="16" t="n">
        <v>51</v>
      </c>
      <c r="B55" s="16" t="s">
        <v>95</v>
      </c>
      <c r="C55" s="16" t="s">
        <v>1089</v>
      </c>
      <c r="D55" s="16" t="s">
        <v>1090</v>
      </c>
      <c r="E55" s="16" t="s">
        <v>979</v>
      </c>
      <c r="F55" s="16" t="s">
        <v>988</v>
      </c>
      <c r="G55" s="7"/>
      <c r="H55" s="16"/>
      <c r="I55" s="16"/>
      <c r="K55" s="0" t="s">
        <v>981</v>
      </c>
    </row>
    <row r="56" customFormat="false" ht="15" hidden="false" customHeight="false" outlineLevel="0" collapsed="false">
      <c r="A56" s="16" t="n">
        <v>52</v>
      </c>
      <c r="B56" s="16" t="s">
        <v>95</v>
      </c>
      <c r="C56" s="16" t="s">
        <v>1091</v>
      </c>
      <c r="D56" s="16" t="s">
        <v>1092</v>
      </c>
      <c r="E56" s="16" t="s">
        <v>984</v>
      </c>
      <c r="F56" s="16" t="s">
        <v>562</v>
      </c>
      <c r="G56" s="7" t="n">
        <v>20</v>
      </c>
      <c r="H56" s="16" t="s">
        <v>205</v>
      </c>
      <c r="I56" s="16" t="s">
        <v>196</v>
      </c>
      <c r="J56" s="0" t="s">
        <v>1010</v>
      </c>
    </row>
    <row r="57" customFormat="false" ht="25.5" hidden="false" customHeight="true" outlineLevel="0" collapsed="false">
      <c r="A57" s="16" t="n">
        <v>53</v>
      </c>
      <c r="B57" s="16" t="s">
        <v>95</v>
      </c>
      <c r="C57" s="16" t="s">
        <v>1093</v>
      </c>
      <c r="D57" s="16" t="s">
        <v>1094</v>
      </c>
      <c r="E57" s="16" t="s">
        <v>999</v>
      </c>
      <c r="F57" s="16" t="s">
        <v>1095</v>
      </c>
      <c r="G57" s="7" t="n">
        <v>3</v>
      </c>
      <c r="H57" s="16" t="s">
        <v>211</v>
      </c>
      <c r="I57" s="16" t="s">
        <v>194</v>
      </c>
      <c r="J57" s="0" t="s">
        <v>1010</v>
      </c>
    </row>
    <row r="58" customFormat="false" ht="51" hidden="true" customHeight="true" outlineLevel="0" collapsed="false">
      <c r="A58" s="16" t="n">
        <v>54</v>
      </c>
      <c r="B58" s="16" t="s">
        <v>97</v>
      </c>
      <c r="C58" s="16" t="s">
        <v>1003</v>
      </c>
      <c r="D58" s="16" t="s">
        <v>1096</v>
      </c>
      <c r="E58" s="16" t="s">
        <v>999</v>
      </c>
      <c r="F58" s="16" t="s">
        <v>1097</v>
      </c>
      <c r="G58" s="7" t="n">
        <v>2</v>
      </c>
      <c r="H58" s="16" t="s">
        <v>205</v>
      </c>
      <c r="I58" s="16" t="s">
        <v>196</v>
      </c>
      <c r="K58" s="0" t="s">
        <v>981</v>
      </c>
    </row>
    <row r="59" customFormat="false" ht="51" hidden="true" customHeight="true" outlineLevel="0" collapsed="false">
      <c r="A59" s="16" t="n">
        <v>55</v>
      </c>
      <c r="B59" s="16" t="s">
        <v>97</v>
      </c>
      <c r="C59" s="16" t="s">
        <v>1078</v>
      </c>
      <c r="D59" s="16" t="s">
        <v>1081</v>
      </c>
      <c r="E59" s="16" t="s">
        <v>984</v>
      </c>
      <c r="F59" s="16" t="s">
        <v>1098</v>
      </c>
      <c r="G59" s="7" t="n">
        <v>9</v>
      </c>
      <c r="H59" s="16" t="s">
        <v>211</v>
      </c>
      <c r="I59" s="16" t="s">
        <v>194</v>
      </c>
      <c r="K59" s="0" t="s">
        <v>981</v>
      </c>
    </row>
    <row r="60" customFormat="false" ht="38.25" hidden="false" customHeight="true" outlineLevel="0" collapsed="false">
      <c r="A60" s="16" t="n">
        <v>56</v>
      </c>
      <c r="B60" s="16" t="s">
        <v>97</v>
      </c>
      <c r="C60" s="16" t="s">
        <v>1099</v>
      </c>
      <c r="D60" s="16" t="s">
        <v>1100</v>
      </c>
      <c r="E60" s="16" t="s">
        <v>984</v>
      </c>
      <c r="F60" s="16" t="s">
        <v>1101</v>
      </c>
      <c r="G60" s="7" t="n">
        <v>0</v>
      </c>
      <c r="H60" s="16" t="s">
        <v>205</v>
      </c>
      <c r="I60" s="16" t="s">
        <v>196</v>
      </c>
      <c r="J60" s="0" t="s">
        <v>1010</v>
      </c>
    </row>
    <row r="61" customFormat="false" ht="25.5" hidden="true" customHeight="true" outlineLevel="0" collapsed="false">
      <c r="A61" s="16" t="n">
        <v>57</v>
      </c>
      <c r="B61" s="16" t="s">
        <v>99</v>
      </c>
      <c r="C61" s="16" t="s">
        <v>1003</v>
      </c>
      <c r="D61" s="16" t="s">
        <v>1102</v>
      </c>
      <c r="E61" s="16" t="s">
        <v>999</v>
      </c>
      <c r="F61" s="16" t="s">
        <v>988</v>
      </c>
      <c r="G61" s="7"/>
      <c r="H61" s="16"/>
      <c r="I61" s="16"/>
      <c r="K61" s="0" t="s">
        <v>981</v>
      </c>
    </row>
    <row r="62" customFormat="false" ht="51" hidden="true" customHeight="true" outlineLevel="0" collapsed="false">
      <c r="A62" s="16" t="n">
        <v>58</v>
      </c>
      <c r="B62" s="16" t="s">
        <v>99</v>
      </c>
      <c r="C62" s="16" t="s">
        <v>1078</v>
      </c>
      <c r="D62" s="16" t="s">
        <v>1081</v>
      </c>
      <c r="E62" s="16" t="s">
        <v>984</v>
      </c>
      <c r="F62" s="16" t="s">
        <v>1103</v>
      </c>
      <c r="G62" s="7" t="n">
        <v>323</v>
      </c>
      <c r="H62" s="16" t="s">
        <v>213</v>
      </c>
      <c r="I62" s="16" t="s">
        <v>184</v>
      </c>
      <c r="K62" s="0" t="s">
        <v>981</v>
      </c>
    </row>
    <row r="63" customFormat="false" ht="25.5" hidden="false" customHeight="true" outlineLevel="0" collapsed="false">
      <c r="A63" s="16" t="n">
        <v>59</v>
      </c>
      <c r="B63" s="16" t="s">
        <v>99</v>
      </c>
      <c r="C63" s="16" t="s">
        <v>1104</v>
      </c>
      <c r="D63" s="16" t="s">
        <v>1105</v>
      </c>
      <c r="E63" s="16" t="s">
        <v>999</v>
      </c>
      <c r="F63" s="16" t="s">
        <v>506</v>
      </c>
      <c r="G63" s="7" t="n">
        <v>362</v>
      </c>
      <c r="H63" s="16" t="s">
        <v>205</v>
      </c>
      <c r="I63" s="16" t="s">
        <v>196</v>
      </c>
      <c r="J63" s="0" t="s">
        <v>1010</v>
      </c>
    </row>
  </sheetData>
  <autoFilter ref="A4:K63">
    <filterColumn colId="9">
      <filters>
        <filter val="x"/>
      </filters>
    </filterColumn>
  </autoFilter>
  <conditionalFormatting sqref="F5:F63">
    <cfRule type="expression" priority="2" aboveAverage="0" equalAverage="0" bottom="0" percent="0" rank="0" text="" dxfId="12">
      <formula>$F5="Chưa có quy tắc tương ứng"</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140"/>
  </cols>
  <sheetData>
    <row r="1" customFormat="false" ht="16.5" hidden="false" customHeight="true" outlineLevel="0" collapsed="false">
      <c r="A1" s="28" t="s">
        <v>1106</v>
      </c>
    </row>
    <row r="2" customFormat="false" ht="15" hidden="false" customHeight="false" outlineLevel="0" collapsed="false">
      <c r="A2" s="29" t="s">
        <v>1107</v>
      </c>
    </row>
    <row r="3" customFormat="false" ht="15" hidden="false" customHeight="false" outlineLevel="0" collapsed="false">
      <c r="A3" s="29" t="s">
        <v>1108</v>
      </c>
    </row>
    <row r="4" customFormat="false" ht="15" hidden="false" customHeight="false" outlineLevel="0" collapsed="false">
      <c r="A4" s="29" t="s">
        <v>1109</v>
      </c>
    </row>
    <row r="5" customFormat="false" ht="15" hidden="false" customHeight="false" outlineLevel="0" collapsed="false">
      <c r="A5" s="29" t="s">
        <v>1110</v>
      </c>
    </row>
    <row r="6" customFormat="false" ht="15" hidden="false" customHeight="false" outlineLevel="0" collapsed="false">
      <c r="A6" s="29" t="s">
        <v>1111</v>
      </c>
    </row>
    <row r="7" customFormat="false" ht="15" hidden="false" customHeight="false" outlineLevel="0" collapsed="false">
      <c r="A7" s="29" t="s">
        <v>1112</v>
      </c>
    </row>
    <row r="8" customFormat="false" ht="15" hidden="false" customHeight="false" outlineLevel="0" collapsed="false">
      <c r="A8" s="29" t="s">
        <v>1113</v>
      </c>
    </row>
    <row r="9" customFormat="false" ht="15" hidden="false" customHeight="false" outlineLevel="0" collapsed="false">
      <c r="A9" s="29" t="s">
        <v>1114</v>
      </c>
    </row>
    <row r="10" customFormat="false" ht="15" hidden="false" customHeight="false" outlineLevel="0" collapsed="false">
      <c r="A10" s="29" t="s">
        <v>1115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2026-10-14T05:23:00Z</dcterms:created>
  <dc:creator>openpyxl</dc:creator>
  <dc:description/>
  <dc:language>en-US</dc:language>
  <cp:lastModifiedBy/>
  <dcterms:modified xsi:type="dcterms:W3CDTF">2026-10-17T08:25:40Z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399C33850F784378A84666FF3F81AC99_13</vt:lpwstr>
  </property>
  <property fmtid="{D5CDD505-2E9C-101B-9397-08002B2CF9AE}" pid="4" name="KSOProductBuildVer">
    <vt:lpwstr>1033-12.1.0.28485</vt:lpwstr>
  </property>
</Properties>
</file>