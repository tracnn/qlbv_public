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Trọng tâm theo đơn vị" sheetId="2" state="visible" r:id="rId2"/>
    <sheet name="Tài khoản thay CCHN" sheetId="3" state="visible" r:id="rId3"/>
    <sheet name="Danh mục lỗi" sheetId="4" state="visible" r:id="rId4"/>
    <sheet name="Đối chiếu FIXERROR" sheetId="5" state="visible" r:id="rId5"/>
    <sheet name="Ghi chú" sheetId="6" state="visible" r:id="rId6"/>
  </sheets>
  <definedNames>
    <definedName name="_xlnm._FilterDatabase" localSheetId="3" hidden="1">'Danh mục lỗi'!$A$4:$P$259</definedName>
    <definedName name="_xlnm.Print_Titles" localSheetId="3">'Danh mục lỗi'!$4:$4</definedName>
    <definedName name="_xlnm._FilterDatabase" localSheetId="4" hidden="1">'Đối chiếu FIXERROR'!$A$4:$I$63</definedName>
  </definedNames>
  <calcPr calcId="124519" fullCalcOnLoad="1"/>
</workbook>
</file>

<file path=xl/styles.xml><?xml version="1.0" encoding="utf-8"?>
<styleSheet xmlns="http://schemas.openxmlformats.org/spreadsheetml/2006/main">
  <numFmts count="2">
    <numFmt numFmtId="164" formatCode="0.0%"/>
    <numFmt numFmtId="165" formatCode="#,##0;-#,##0;&quot;&quot;"/>
  </numFmts>
  <fonts count="12">
    <font>
      <name val="Calibri"/>
      <family val="2"/>
      <color theme="1"/>
      <sz val="11"/>
      <scheme val="minor"/>
    </font>
    <font>
      <name val="Arial"/>
      <b val="1"/>
      <color rgb="001F4E78"/>
      <sz val="14"/>
    </font>
    <font>
      <name val="Arial"/>
      <i val="1"/>
      <color rgb="00595959"/>
      <sz val="9"/>
    </font>
    <font>
      <name val="Arial"/>
      <b val="1"/>
      <color rgb="00FFFFFF"/>
    </font>
    <font>
      <name val="Arial"/>
      <sz val="10"/>
    </font>
    <font>
      <name val="Arial"/>
      <b val="1"/>
      <color rgb="001F4E78"/>
      <sz val="12"/>
    </font>
    <font>
      <name val="Arial"/>
      <b val="1"/>
    </font>
    <font>
      <name val="Arial"/>
    </font>
    <font>
      <name val="Arial"/>
      <b val="1"/>
      <sz val="10"/>
    </font>
    <font>
      <name val="Arial"/>
      <i val="1"/>
      <sz val="10"/>
    </font>
    <font>
      <name val="Arial"/>
      <b val="1"/>
      <sz val="13"/>
    </font>
    <font>
      <name val="Arial"/>
      <sz val="11"/>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6" fillId="0" borderId="1" pivotButton="0" quotePrefix="0" xfId="0"/>
    <xf numFmtId="0" fontId="7" fillId="0" borderId="1" pivotButton="0" quotePrefix="0" xfId="0"/>
    <xf numFmtId="3" fontId="7" fillId="0" borderId="1" pivotButton="0" quotePrefix="0" xfId="0"/>
    <xf numFmtId="3" fontId="6" fillId="0" borderId="1" pivotButton="0" quotePrefix="0" xfId="0"/>
    <xf numFmtId="0" fontId="7" fillId="0" borderId="1" applyAlignment="1" pivotButton="0" quotePrefix="0" xfId="0">
      <alignment vertical="top" wrapText="1"/>
    </xf>
    <xf numFmtId="0" fontId="4" fillId="0" borderId="1" applyAlignment="1" pivotButton="0" quotePrefix="0" xfId="0">
      <alignment vertical="top" wrapText="1"/>
    </xf>
    <xf numFmtId="0" fontId="8" fillId="0" borderId="1" applyAlignment="1" pivotButton="0" quotePrefix="0" xfId="0">
      <alignment vertical="top" wrapText="1"/>
    </xf>
    <xf numFmtId="3" fontId="4" fillId="0" borderId="1" applyAlignment="1" pivotButton="0" quotePrefix="0" xfId="0">
      <alignment vertical="top" wrapText="1"/>
    </xf>
    <xf numFmtId="0" fontId="9" fillId="0" borderId="0" pivotButton="0" quotePrefix="0" xfId="0"/>
    <xf numFmtId="164" fontId="4" fillId="0" borderId="1" applyAlignment="1" pivotButton="0" quotePrefix="0" xfId="0">
      <alignment vertical="top" wrapText="1"/>
    </xf>
    <xf numFmtId="0" fontId="10" fillId="0" borderId="0" pivotButton="0" quotePrefix="0" xfId="0"/>
    <xf numFmtId="0" fontId="11" fillId="0" borderId="0" pivotButton="0" quotePrefix="0" xfId="0"/>
    <xf numFmtId="165" fontId="4" fillId="0" borderId="1" applyAlignment="1" pivotButton="0" quotePrefix="0" xfId="0">
      <alignment vertical="top" wrapText="1"/>
    </xf>
  </cellXfs>
  <cellStyles count="1">
    <cellStyle name="Normal" xfId="0" builtinId="0" hidden="0"/>
  </cellStyles>
  <dxfs count="5">
    <dxf>
      <font>
        <color rgb="00A6A6A6"/>
      </font>
    </dxf>
    <dxf>
      <font>
        <b val="1"/>
        <color rgb="00C00000"/>
      </font>
    </dxf>
    <dxf>
      <fill>
        <patternFill patternType="solid">
          <fgColor rgb="00DDEBF7"/>
        </patternFill>
      </fill>
    </dxf>
    <dxf>
      <fill>
        <patternFill patternType="solid">
          <fgColor rgb="00FFF2CC"/>
        </patternFill>
      </fill>
    </dxf>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6" customWidth="1" min="1" max="1"/>
    <col width="14" customWidth="1" min="2" max="2"/>
    <col width="12" customWidth="1" min="3" max="3"/>
    <col width="16" customWidth="1" min="4" max="4"/>
    <col width="16" customWidth="1" min="5" max="5"/>
    <col width="60" customWidth="1" min="6" max="6"/>
  </cols>
  <sheetData>
    <row r="1">
      <c r="A1" s="1" t="inlineStr">
        <is>
          <t>TỔNG HỢP LỖI TIỀN GIÁM ĐỊNH THEO ĐƠN VỊ VÀ NHÓM LỖI</t>
        </is>
      </c>
    </row>
    <row r="2">
      <c r="A2" s="2" t="inlineStr">
        <is>
          <t>Tự tính từ sheet "Danh mục lỗi" (kiểm lại toàn bộ 16/10/2026, 68.213 hồ sơ). Chỉ đếm mã lỗi đã phát sinh (Số hồ sơ &gt; 0). "Lượt hồ sơ-lỗi" = tổng số hồ sơ của các mã, một hồ sơ nhiều lỗi được đếm nhiều lần.</t>
        </is>
      </c>
    </row>
    <row r="3"/>
    <row r="4">
      <c r="A4" s="3" t="inlineStr">
        <is>
          <t>1. Theo đơn vị chủ trì</t>
        </is>
      </c>
    </row>
    <row r="5" ht="34" customHeight="1">
      <c r="A5" s="4" t="inlineStr">
        <is>
          <t>Đơn vị chủ trì</t>
        </is>
      </c>
      <c r="B5" s="4" t="inlineStr">
        <is>
          <t>Số mã lỗi phát sinh</t>
        </is>
      </c>
      <c r="C5" s="4" t="inlineStr">
        <is>
          <t>Trong đó chặn gửi</t>
        </is>
      </c>
      <c r="D5" s="4" t="inlineStr">
        <is>
          <t>Lượt hồ sơ-lỗi</t>
        </is>
      </c>
      <c r="E5" s="4" t="inlineStr">
        <is>
          <t>Lượt hồ sơ-lỗi chặn gửi</t>
        </is>
      </c>
      <c r="F5" s="4" t="inlineStr">
        <is>
          <t>Mã lỗi lớn nhất</t>
        </is>
      </c>
    </row>
    <row r="6">
      <c r="A6" s="5" t="inlineStr">
        <is>
          <t>Phòng BHYT</t>
        </is>
      </c>
      <c r="B6" s="6">
        <f>COUNTIFS('Danh mục lỗi'!$L$5:$L$259,$A6,'Danh mục lỗi'!$G$5:$G$259,"&gt;0")</f>
        <v/>
      </c>
      <c r="C6" s="6">
        <f>COUNTIFS('Danh mục lỗi'!$L$5:$L$259,$A6,'Danh mục lỗi'!$G$5:$G$259,"&gt;0",'Danh mục lỗi'!$E$5:$E$259,"Có")</f>
        <v/>
      </c>
      <c r="D6" s="7">
        <f>SUMIFS('Danh mục lỗi'!$G$5:$G$259,'Danh mục lỗi'!$L$5:$L$259,$A6)</f>
        <v/>
      </c>
      <c r="E6" s="7">
        <f>SUMIFS('Danh mục lỗi'!$G$5:$G$259,'Danh mục lỗi'!$L$5:$L$259,$A6,'Danh mục lỗi'!$E$5:$E$259,"Có")</f>
        <v/>
      </c>
      <c r="F6" s="6" t="inlineStr">
        <is>
          <t>XML3_OVERLAPPING_BED_USAGE (9.512 HS)</t>
        </is>
      </c>
    </row>
    <row r="7">
      <c r="A7" s="5" t="inlineStr">
        <is>
          <t>CNTT</t>
        </is>
      </c>
      <c r="B7" s="6">
        <f>COUNTIFS('Danh mục lỗi'!$L$5:$L$259,$A7,'Danh mục lỗi'!$G$5:$G$259,"&gt;0")</f>
        <v/>
      </c>
      <c r="C7" s="6">
        <f>COUNTIFS('Danh mục lỗi'!$L$5:$L$259,$A7,'Danh mục lỗi'!$G$5:$G$259,"&gt;0",'Danh mục lỗi'!$E$5:$E$259,"Có")</f>
        <v/>
      </c>
      <c r="D7" s="7">
        <f>SUMIFS('Danh mục lỗi'!$G$5:$G$259,'Danh mục lỗi'!$L$5:$L$259,$A7)</f>
        <v/>
      </c>
      <c r="E7" s="7">
        <f>SUMIFS('Danh mục lỗi'!$G$5:$G$259,'Danh mục lỗi'!$L$5:$L$259,$A7,'Danh mục lỗi'!$E$5:$E$259,"Có")</f>
        <v/>
      </c>
      <c r="F7" s="6" t="inlineStr">
        <is>
          <t>XML4_CHI_SO_EMPTY (42.590 HS)</t>
        </is>
      </c>
    </row>
    <row r="8">
      <c r="A8" s="5" t="inlineStr">
        <is>
          <t>Khoa Dược</t>
        </is>
      </c>
      <c r="B8" s="6">
        <f>COUNTIFS('Danh mục lỗi'!$L$5:$L$259,$A8,'Danh mục lỗi'!$G$5:$G$259,"&gt;0")</f>
        <v/>
      </c>
      <c r="C8" s="6">
        <f>COUNTIFS('Danh mục lỗi'!$L$5:$L$259,$A8,'Danh mục lỗi'!$G$5:$G$259,"&gt;0",'Danh mục lỗi'!$E$5:$E$259,"Có")</f>
        <v/>
      </c>
      <c r="D8" s="7">
        <f>SUMIFS('Danh mục lỗi'!$G$5:$G$259,'Danh mục lỗi'!$L$5:$L$259,$A8)</f>
        <v/>
      </c>
      <c r="E8" s="7">
        <f>SUMIFS('Danh mục lỗi'!$G$5:$G$259,'Danh mục lỗi'!$L$5:$L$259,$A8,'Danh mục lỗi'!$E$5:$E$259,"Có")</f>
        <v/>
      </c>
      <c r="F8" s="6" t="inlineStr">
        <is>
          <t>XML2_INVALID_DANG_BAO_CHE (10.016 HS)</t>
        </is>
      </c>
    </row>
    <row r="9">
      <c r="A9" s="5" t="inlineStr">
        <is>
          <t>Phòng VT-TBYT</t>
        </is>
      </c>
      <c r="B9" s="6">
        <f>COUNTIFS('Danh mục lỗi'!$L$5:$L$259,$A9,'Danh mục lỗi'!$G$5:$G$259,"&gt;0")</f>
        <v/>
      </c>
      <c r="C9" s="6">
        <f>COUNTIFS('Danh mục lỗi'!$L$5:$L$259,$A9,'Danh mục lỗi'!$G$5:$G$259,"&gt;0",'Danh mục lỗi'!$E$5:$E$259,"Có")</f>
        <v/>
      </c>
      <c r="D9" s="7">
        <f>SUMIFS('Danh mục lỗi'!$G$5:$G$259,'Danh mục lỗi'!$L$5:$L$259,$A9)</f>
        <v/>
      </c>
      <c r="E9" s="7">
        <f>SUMIFS('Danh mục lỗi'!$G$5:$G$259,'Danh mục lỗi'!$L$5:$L$259,$A9,'Danh mục lỗi'!$E$5:$E$259,"Có")</f>
        <v/>
      </c>
      <c r="F9" s="6" t="inlineStr">
        <is>
          <t>XML3_INFO_ERROR_MA_MAY_NOT_FOUND (44.917 HS)</t>
        </is>
      </c>
    </row>
    <row r="10">
      <c r="A10" s="5" t="inlineStr">
        <is>
          <t>Phòng KHTH</t>
        </is>
      </c>
      <c r="B10" s="6">
        <f>COUNTIFS('Danh mục lỗi'!$L$5:$L$259,$A10,'Danh mục lỗi'!$G$5:$G$259,"&gt;0")</f>
        <v/>
      </c>
      <c r="C10" s="6">
        <f>COUNTIFS('Danh mục lỗi'!$L$5:$L$259,$A10,'Danh mục lỗi'!$G$5:$G$259,"&gt;0",'Danh mục lỗi'!$E$5:$E$259,"Có")</f>
        <v/>
      </c>
      <c r="D10" s="7">
        <f>SUMIFS('Danh mục lỗi'!$G$5:$G$259,'Danh mục lỗi'!$L$5:$L$259,$A10)</f>
        <v/>
      </c>
      <c r="E10" s="7">
        <f>SUMIFS('Danh mục lỗi'!$G$5:$G$259,'Danh mục lỗi'!$L$5:$L$259,$A10,'Danh mục lỗi'!$E$5:$E$259,"Có")</f>
        <v/>
      </c>
      <c r="F10" s="6" t="inlineStr">
        <is>
          <t>XML3_INVALID_MA_DICH_VU (21.630 HS)</t>
        </is>
      </c>
    </row>
    <row r="11">
      <c r="A11" s="5" t="inlineStr">
        <is>
          <t>Phòng TCKT</t>
        </is>
      </c>
      <c r="B11" s="6">
        <f>COUNTIFS('Danh mục lỗi'!$L$5:$L$259,$A11,'Danh mục lỗi'!$G$5:$G$259,"&gt;0")</f>
        <v/>
      </c>
      <c r="C11" s="6">
        <f>COUNTIFS('Danh mục lỗi'!$L$5:$L$259,$A11,'Danh mục lỗi'!$G$5:$G$259,"&gt;0",'Danh mục lỗi'!$E$5:$E$259,"Có")</f>
        <v/>
      </c>
      <c r="D11" s="7">
        <f>SUMIFS('Danh mục lỗi'!$G$5:$G$259,'Danh mục lỗi'!$L$5:$L$259,$A11)</f>
        <v/>
      </c>
      <c r="E11" s="7">
        <f>SUMIFS('Danh mục lỗi'!$G$5:$G$259,'Danh mục lỗi'!$L$5:$L$259,$A11,'Danh mục lỗi'!$E$5:$E$259,"Có")</f>
        <v/>
      </c>
      <c r="F11" s="6" t="inlineStr">
        <is>
          <t>XML3_INVALID_APPROVED_DON_GIA_BH (32.559 HS)</t>
        </is>
      </c>
    </row>
    <row r="12">
      <c r="A12" s="5" t="inlineStr">
        <is>
          <t>Phòng TCCB</t>
        </is>
      </c>
      <c r="B12" s="6">
        <f>COUNTIFS('Danh mục lỗi'!$L$5:$L$259,$A12,'Danh mục lỗi'!$G$5:$G$259,"&gt;0")</f>
        <v/>
      </c>
      <c r="C12" s="6">
        <f>COUNTIFS('Danh mục lỗi'!$L$5:$L$259,$A12,'Danh mục lỗi'!$G$5:$G$259,"&gt;0",'Danh mục lỗi'!$E$5:$E$259,"Có")</f>
        <v/>
      </c>
      <c r="D12" s="7">
        <f>SUMIFS('Danh mục lỗi'!$G$5:$G$259,'Danh mục lỗi'!$L$5:$L$259,$A12)</f>
        <v/>
      </c>
      <c r="E12" s="7">
        <f>SUMIFS('Danh mục lỗi'!$G$5:$G$259,'Danh mục lỗi'!$L$5:$L$259,$A12,'Danh mục lỗi'!$E$5:$E$259,"Có")</f>
        <v/>
      </c>
      <c r="F12" s="6" t="inlineStr">
        <is>
          <t>XMLComplete_NVYT_KHONG_CO_TRONG_DM (17.673 HS)</t>
        </is>
      </c>
    </row>
    <row r="13">
      <c r="A13" s="5" t="inlineStr">
        <is>
          <t>Khoa lâm sàng</t>
        </is>
      </c>
      <c r="B13" s="6">
        <f>COUNTIFS('Danh mục lỗi'!$L$5:$L$259,$A13,'Danh mục lỗi'!$G$5:$G$259,"&gt;0")</f>
        <v/>
      </c>
      <c r="C13" s="6">
        <f>COUNTIFS('Danh mục lỗi'!$L$5:$L$259,$A13,'Danh mục lỗi'!$G$5:$G$259,"&gt;0",'Danh mục lỗi'!$E$5:$E$259,"Có")</f>
        <v/>
      </c>
      <c r="D13" s="7">
        <f>SUMIFS('Danh mục lỗi'!$G$5:$G$259,'Danh mục lỗi'!$L$5:$L$259,$A13)</f>
        <v/>
      </c>
      <c r="E13" s="7">
        <f>SUMIFS('Danh mục lỗi'!$G$5:$G$259,'Danh mục lỗi'!$L$5:$L$259,$A13,'Danh mục lỗi'!$E$5:$E$259,"Có")</f>
        <v/>
      </c>
      <c r="F13" s="6" t="inlineStr">
        <is>
          <t>XML3_SAME_DOCTOR_ORDER_AND_EXECUTE (10.473 HS)</t>
        </is>
      </c>
    </row>
    <row r="14">
      <c r="A14" s="5" t="inlineStr">
        <is>
          <t>Tiếp đón</t>
        </is>
      </c>
      <c r="B14" s="6">
        <f>COUNTIFS('Danh mục lỗi'!$L$5:$L$259,$A14,'Danh mục lỗi'!$G$5:$G$259,"&gt;0")</f>
        <v/>
      </c>
      <c r="C14" s="6">
        <f>COUNTIFS('Danh mục lỗi'!$L$5:$L$259,$A14,'Danh mục lỗi'!$G$5:$G$259,"&gt;0",'Danh mục lỗi'!$E$5:$E$259,"Có")</f>
        <v/>
      </c>
      <c r="D14" s="7">
        <f>SUMIFS('Danh mục lỗi'!$G$5:$G$259,'Danh mục lỗi'!$L$5:$L$259,$A14)</f>
        <v/>
      </c>
      <c r="E14" s="7">
        <f>SUMIFS('Danh mục lỗi'!$G$5:$G$259,'Danh mục lỗi'!$L$5:$L$259,$A14,'Danh mục lỗi'!$E$5:$E$259,"Có")</f>
        <v/>
      </c>
      <c r="F14" s="6" t="inlineStr">
        <is>
          <t>XML1_ADMIN_INFO_ERROR_SO_CCCD (937 HS)</t>
        </is>
      </c>
    </row>
    <row r="15">
      <c r="A15" s="5" t="inlineStr">
        <is>
          <t>Đơn vị PM Tiền giám định</t>
        </is>
      </c>
      <c r="B15" s="6">
        <f>COUNTIFS('Danh mục lỗi'!$L$5:$L$259,$A15,'Danh mục lỗi'!$G$5:$G$259,"&gt;0")</f>
        <v/>
      </c>
      <c r="C15" s="6">
        <f>COUNTIFS('Danh mục lỗi'!$L$5:$L$259,$A15,'Danh mục lỗi'!$G$5:$G$259,"&gt;0",'Danh mục lỗi'!$E$5:$E$259,"Có")</f>
        <v/>
      </c>
      <c r="D15" s="7">
        <f>SUMIFS('Danh mục lỗi'!$G$5:$G$259,'Danh mục lỗi'!$L$5:$L$259,$A15)</f>
        <v/>
      </c>
      <c r="E15" s="7">
        <f>SUMIFS('Danh mục lỗi'!$G$5:$G$259,'Danh mục lỗi'!$L$5:$L$259,$A15,'Danh mục lỗi'!$E$5:$E$259,"Có")</f>
        <v/>
      </c>
      <c r="F15" s="6" t="inlineStr">
        <is>
          <t>(không còn lỗi)</t>
        </is>
      </c>
    </row>
    <row r="16">
      <c r="A16" s="5" t="inlineStr">
        <is>
          <t>Tổng</t>
        </is>
      </c>
      <c r="B16" s="8">
        <f>SUM(B6:B15)</f>
        <v/>
      </c>
      <c r="C16" s="8">
        <f>SUM(C6:C15)</f>
        <v/>
      </c>
      <c r="D16" s="8">
        <f>SUM(D6:D15)</f>
        <v/>
      </c>
      <c r="E16" s="8">
        <f>SUM(E6:E15)</f>
        <v/>
      </c>
    </row>
    <row r="17"/>
    <row r="18">
      <c r="A18" s="3" t="inlineStr">
        <is>
          <t>2. Theo nhóm lỗi (nghiệp vụ / kỹ thuật)</t>
        </is>
      </c>
    </row>
    <row r="19" ht="34" customHeight="1">
      <c r="A19" s="4" t="inlineStr">
        <is>
          <t>Phân nhóm</t>
        </is>
      </c>
      <c r="B19" s="4" t="inlineStr">
        <is>
          <t>Số mã lỗi phát sinh</t>
        </is>
      </c>
      <c r="C19" s="4" t="inlineStr">
        <is>
          <t>Trong đó chặn gửi</t>
        </is>
      </c>
      <c r="D19" s="4" t="inlineStr">
        <is>
          <t>Lượt hồ sơ-lỗi</t>
        </is>
      </c>
      <c r="E19" s="4" t="inlineStr">
        <is>
          <t>Lượt hồ sơ-lỗi chặn gửi</t>
        </is>
      </c>
      <c r="F19" s="4" t="inlineStr">
        <is>
          <t>Ý nghĩa</t>
        </is>
      </c>
    </row>
    <row r="20">
      <c r="A20" s="5" t="inlineStr">
        <is>
          <t>Nghiệp vụ – Chuyên môn lâm sàng</t>
        </is>
      </c>
      <c r="B20" s="6">
        <f>COUNTIFS('Danh mục lỗi'!$K$5:$K$259,$A20,'Danh mục lỗi'!$G$5:$G$259,"&gt;0")</f>
        <v/>
      </c>
      <c r="C20" s="6">
        <f>COUNTIFS('Danh mục lỗi'!$K$5:$K$259,$A20,'Danh mục lỗi'!$G$5:$G$259,"&gt;0",'Danh mục lỗi'!$E$5:$E$259,"Có")</f>
        <v/>
      </c>
      <c r="D20" s="7">
        <f>SUMIFS('Danh mục lỗi'!$G$5:$G$259,'Danh mục lỗi'!$K$5:$K$259,$A20)</f>
        <v/>
      </c>
      <c r="E20" s="7">
        <f>SUMIFS('Danh mục lỗi'!$G$5:$G$259,'Danh mục lỗi'!$K$5:$K$259,$A20,'Danh mục lỗi'!$E$5:$E$259,"Có")</f>
        <v/>
      </c>
      <c r="F20" s="9" t="inlineStr">
        <is>
          <t>Bác sĩ/điều dưỡng nhập thiếu, sai nội dung chuyên môn</t>
        </is>
      </c>
    </row>
    <row r="21">
      <c r="A21" s="5" t="inlineStr">
        <is>
          <t>Nghiệp vụ – Quy định BHYT</t>
        </is>
      </c>
      <c r="B21" s="6">
        <f>COUNTIFS('Danh mục lỗi'!$K$5:$K$259,$A21,'Danh mục lỗi'!$G$5:$G$259,"&gt;0")</f>
        <v/>
      </c>
      <c r="C21" s="6">
        <f>COUNTIFS('Danh mục lỗi'!$K$5:$K$259,$A21,'Danh mục lỗi'!$G$5:$G$259,"&gt;0",'Danh mục lỗi'!$E$5:$E$259,"Có")</f>
        <v/>
      </c>
      <c r="D21" s="7">
        <f>SUMIFS('Danh mục lỗi'!$G$5:$G$259,'Danh mục lỗi'!$K$5:$K$259,$A21)</f>
        <v/>
      </c>
      <c r="E21" s="7">
        <f>SUMIFS('Danh mục lỗi'!$G$5:$G$259,'Danh mục lỗi'!$K$5:$K$259,$A21,'Danh mục lỗi'!$E$5:$E$259,"Có")</f>
        <v/>
      </c>
      <c r="F21" s="9" t="inlineStr">
        <is>
          <t>Khai sai quy định thanh toán BHYT (đối tượng, mức hưởng, ngày giường, công khám)</t>
        </is>
      </c>
    </row>
    <row r="22">
      <c r="A22" s="5" t="inlineStr">
        <is>
          <t>Nghiệp vụ – Hành chính, tiếp đón</t>
        </is>
      </c>
      <c r="B22" s="6">
        <f>COUNTIFS('Danh mục lỗi'!$K$5:$K$259,$A22,'Danh mục lỗi'!$G$5:$G$259,"&gt;0")</f>
        <v/>
      </c>
      <c r="C22" s="6">
        <f>COUNTIFS('Danh mục lỗi'!$K$5:$K$259,$A22,'Danh mục lỗi'!$G$5:$G$259,"&gt;0",'Danh mục lỗi'!$E$5:$E$259,"Có")</f>
        <v/>
      </c>
      <c r="D22" s="7">
        <f>SUMIFS('Danh mục lỗi'!$G$5:$G$259,'Danh mục lỗi'!$K$5:$K$259,$A22)</f>
        <v/>
      </c>
      <c r="E22" s="7">
        <f>SUMIFS('Danh mục lỗi'!$G$5:$G$259,'Danh mục lỗi'!$K$5:$K$259,$A22,'Danh mục lỗi'!$E$5:$E$259,"Có")</f>
        <v/>
      </c>
      <c r="F22" s="9" t="inlineStr">
        <is>
          <t>Tiếp đón nhập thiếu thông tin hành chính</t>
        </is>
      </c>
    </row>
    <row r="23">
      <c r="A23" s="5" t="inlineStr">
        <is>
          <t>Nghiệp vụ – Danh mục</t>
        </is>
      </c>
      <c r="B23" s="6">
        <f>COUNTIFS('Danh mục lỗi'!$K$5:$K$259,$A23,'Danh mục lỗi'!$G$5:$G$259,"&gt;0")</f>
        <v/>
      </c>
      <c r="C23" s="6">
        <f>COUNTIFS('Danh mục lỗi'!$K$5:$K$259,$A23,'Danh mục lỗi'!$G$5:$G$259,"&gt;0",'Danh mục lỗi'!$E$5:$E$259,"Có")</f>
        <v/>
      </c>
      <c r="D23" s="7">
        <f>SUMIFS('Danh mục lỗi'!$G$5:$G$259,'Danh mục lỗi'!$K$5:$K$259,$A23)</f>
        <v/>
      </c>
      <c r="E23" s="7">
        <f>SUMIFS('Danh mục lỗi'!$G$5:$G$259,'Danh mục lỗi'!$K$5:$K$259,$A23,'Danh mục lỗi'!$E$5:$E$259,"Có")</f>
        <v/>
      </c>
      <c r="F23" s="9" t="inlineStr">
        <is>
          <t>Danh mục thuốc, VTYT, DVKT, NVYT, TTB, giá chưa khớp danh mục BHXH phê duyệt</t>
        </is>
      </c>
    </row>
    <row r="24">
      <c r="A24" s="5" t="inlineStr">
        <is>
          <t>Kỹ thuật – HIS</t>
        </is>
      </c>
      <c r="B24" s="6">
        <f>COUNTIFS('Danh mục lỗi'!$K$5:$K$259,$A24,'Danh mục lỗi'!$G$5:$G$259,"&gt;0")</f>
        <v/>
      </c>
      <c r="C24" s="6">
        <f>COUNTIFS('Danh mục lỗi'!$K$5:$K$259,$A24,'Danh mục lỗi'!$G$5:$G$259,"&gt;0",'Danh mục lỗi'!$E$5:$E$259,"Có")</f>
        <v/>
      </c>
      <c r="D24" s="7">
        <f>SUMIFS('Danh mục lỗi'!$G$5:$G$259,'Danh mục lỗi'!$K$5:$K$259,$A24)</f>
        <v/>
      </c>
      <c r="E24" s="7">
        <f>SUMIFS('Danh mục lỗi'!$G$5:$G$259,'Danh mục lỗi'!$K$5:$K$259,$A24,'Danh mục lỗi'!$E$5:$E$259,"Có")</f>
        <v/>
      </c>
      <c r="F24" s="9" t="inlineStr">
        <is>
          <t>HIS không bắt buộc nhập, tính sai, xuất sai định dạng</t>
        </is>
      </c>
    </row>
    <row r="25">
      <c r="A25" s="5" t="inlineStr">
        <is>
          <t>Kỹ thuật – Tích hợp HIS–PACS</t>
        </is>
      </c>
      <c r="B25" s="6">
        <f>COUNTIFS('Danh mục lỗi'!$K$5:$K$259,$A25,'Danh mục lỗi'!$G$5:$G$259,"&gt;0")</f>
        <v/>
      </c>
      <c r="C25" s="6">
        <f>COUNTIFS('Danh mục lỗi'!$K$5:$K$259,$A25,'Danh mục lỗi'!$G$5:$G$259,"&gt;0",'Danh mục lỗi'!$E$5:$E$259,"Có")</f>
        <v/>
      </c>
      <c r="D25" s="7">
        <f>SUMIFS('Danh mục lỗi'!$G$5:$G$259,'Danh mục lỗi'!$K$5:$K$259,$A25)</f>
        <v/>
      </c>
      <c r="E25" s="7">
        <f>SUMIFS('Danh mục lỗi'!$G$5:$G$259,'Danh mục lỗi'!$K$5:$K$259,$A25,'Danh mục lỗi'!$E$5:$E$259,"Có")</f>
        <v/>
      </c>
      <c r="F25" s="9" t="inlineStr">
        <is>
          <t>PACS/RIS trả kết quả thiếu thông tin về HIS</t>
        </is>
      </c>
    </row>
    <row r="26">
      <c r="A26" s="5" t="inlineStr">
        <is>
          <t>Kỹ thuật – Tích hợp HIS–LIS</t>
        </is>
      </c>
      <c r="B26" s="6">
        <f>COUNTIFS('Danh mục lỗi'!$K$5:$K$259,$A26,'Danh mục lỗi'!$G$5:$G$259,"&gt;0")</f>
        <v/>
      </c>
      <c r="C26" s="6">
        <f>COUNTIFS('Danh mục lỗi'!$K$5:$K$259,$A26,'Danh mục lỗi'!$G$5:$G$259,"&gt;0",'Danh mục lỗi'!$E$5:$E$259,"Có")</f>
        <v/>
      </c>
      <c r="D26" s="7">
        <f>SUMIFS('Danh mục lỗi'!$G$5:$G$259,'Danh mục lỗi'!$K$5:$K$259,$A26)</f>
        <v/>
      </c>
      <c r="E26" s="7">
        <f>SUMIFS('Danh mục lỗi'!$G$5:$G$259,'Danh mục lỗi'!$K$5:$K$259,$A26,'Danh mục lỗi'!$E$5:$E$259,"Có")</f>
        <v/>
      </c>
      <c r="F26" s="9" t="inlineStr">
        <is>
          <t>LIS trả kết quả thiếu mã/tên chỉ số, giá trị</t>
        </is>
      </c>
    </row>
    <row r="27">
      <c r="A27" s="5" t="inlineStr">
        <is>
          <t>Kỹ thuật – Tích hợp HIS–PACS/LIS</t>
        </is>
      </c>
      <c r="B27" s="6">
        <f>COUNTIFS('Danh mục lỗi'!$K$5:$K$259,$A27,'Danh mục lỗi'!$G$5:$G$259,"&gt;0")</f>
        <v/>
      </c>
      <c r="C27" s="6">
        <f>COUNTIFS('Danh mục lỗi'!$K$5:$K$259,$A27,'Danh mục lỗi'!$G$5:$G$259,"&gt;0",'Danh mục lỗi'!$E$5:$E$259,"Có")</f>
        <v/>
      </c>
      <c r="D27" s="7">
        <f>SUMIFS('Danh mục lỗi'!$G$5:$G$259,'Danh mục lỗi'!$K$5:$K$259,$A27)</f>
        <v/>
      </c>
      <c r="E27" s="7">
        <f>SUMIFS('Danh mục lỗi'!$G$5:$G$259,'Danh mục lỗi'!$K$5:$K$259,$A27,'Danh mục lỗi'!$E$5:$E$259,"Có")</f>
        <v/>
      </c>
      <c r="F27" s="9" t="inlineStr">
        <is>
          <t>PACS và LIS cùng mắc: tài khoản máy thay mã CCHN, thiếu người thực hiện, mã máy, thời gian KQ</t>
        </is>
      </c>
    </row>
    <row r="28">
      <c r="A28" s="5" t="inlineStr">
        <is>
          <t>Kỹ thuật – Phần mềm Tiền giám định</t>
        </is>
      </c>
      <c r="B28" s="6">
        <f>COUNTIFS('Danh mục lỗi'!$K$5:$K$259,$A28,'Danh mục lỗi'!$G$5:$G$259,"&gt;0")</f>
        <v/>
      </c>
      <c r="C28" s="6">
        <f>COUNTIFS('Danh mục lỗi'!$K$5:$K$259,$A28,'Danh mục lỗi'!$G$5:$G$259,"&gt;0",'Danh mục lỗi'!$E$5:$E$259,"Có")</f>
        <v/>
      </c>
      <c r="D28" s="7">
        <f>SUMIFS('Danh mục lỗi'!$G$5:$G$259,'Danh mục lỗi'!$K$5:$K$259,$A28)</f>
        <v/>
      </c>
      <c r="E28" s="7">
        <f>SUMIFS('Danh mục lỗi'!$G$5:$G$259,'Danh mục lỗi'!$K$5:$K$259,$A28,'Danh mục lỗi'!$E$5:$E$259,"Có")</f>
        <v/>
      </c>
      <c r="F28" s="9" t="inlineStr">
        <is>
          <t>Thiếu sót của chính phần mềm kiểm (danh mục CSKCB, mã thừa)</t>
        </is>
      </c>
    </row>
    <row r="29">
      <c r="A29" s="5" t="inlineStr">
        <is>
          <t>Cộng Nghiệp vụ</t>
        </is>
      </c>
      <c r="B29" s="5">
        <f>COUNTIFS('Danh mục lỗi'!$J$5:$J$259,"Nghiệp vụ",'Danh mục lỗi'!$G$5:$G$259,"&gt;0")</f>
        <v/>
      </c>
      <c r="C29" s="5">
        <f>COUNTIFS('Danh mục lỗi'!$J$5:$J$259,"Nghiệp vụ",'Danh mục lỗi'!$G$5:$G$259,"&gt;0",'Danh mục lỗi'!$E$5:$E$259,"Có")</f>
        <v/>
      </c>
      <c r="D29" s="8">
        <f>SUMIFS('Danh mục lỗi'!$G$5:$G$259,'Danh mục lỗi'!$J$5:$J$259,"Nghiệp vụ")</f>
        <v/>
      </c>
      <c r="E29" s="8">
        <f>SUMIFS('Danh mục lỗi'!$G$5:$G$259,'Danh mục lỗi'!$J$5:$J$259,"Nghiệp vụ",'Danh mục lỗi'!$E$5:$E$259,"Có")</f>
        <v/>
      </c>
    </row>
    <row r="30">
      <c r="A30" s="5" t="inlineStr">
        <is>
          <t>Cộng Kỹ thuật</t>
        </is>
      </c>
      <c r="B30" s="5">
        <f>COUNTIFS('Danh mục lỗi'!$J$5:$J$259,"Kỹ thuật",'Danh mục lỗi'!$G$5:$G$259,"&gt;0")</f>
        <v/>
      </c>
      <c r="C30" s="5">
        <f>COUNTIFS('Danh mục lỗi'!$J$5:$J$259,"Kỹ thuật",'Danh mục lỗi'!$G$5:$G$259,"&gt;0",'Danh mục lỗi'!$E$5:$E$259,"Có")</f>
        <v/>
      </c>
      <c r="D30" s="8">
        <f>SUMIFS('Danh mục lỗi'!$G$5:$G$259,'Danh mục lỗi'!$J$5:$J$259,"Kỹ thuật")</f>
        <v/>
      </c>
      <c r="E30" s="8">
        <f>SUMIFS('Danh mục lỗi'!$G$5:$G$259,'Danh mục lỗi'!$J$5:$J$259,"Kỹ thuật",'Danh mục lỗi'!$E$5:$E$259,"Có")</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26" customWidth="1" min="3" max="3"/>
    <col width="60" customWidth="1" min="4" max="4"/>
    <col width="46" customWidth="1" min="5" max="5"/>
    <col width="44" customWidth="1" min="6" max="6"/>
  </cols>
  <sheetData>
    <row r="1">
      <c r="A1" s="1" t="inlineStr">
        <is>
          <t>TRỌNG TÂM CẦN XỬ LÝ THEO TỪNG ĐƠN VỊ (để báo cáo)</t>
        </is>
      </c>
    </row>
    <row r="2">
      <c r="A2" s="2" t="inlineStr">
        <is>
          <t>Số liệu là số hồ sơ có lỗi khi kiểm lại toàn bộ 16/10/2026 (bộ kiểm commit 63e21fa8) trên 68.213 hồ sơ nạp từ 01/09/2026. Chi tiết từng mã ở sheet "Danh mục lỗi".</t>
        </is>
      </c>
    </row>
    <row r="4" ht="34" customHeight="1">
      <c r="A4" s="4" t="inlineStr">
        <is>
          <t>STT</t>
        </is>
      </c>
      <c r="B4" s="4" t="inlineStr">
        <is>
          <t>Đơn vị</t>
        </is>
      </c>
      <c r="C4" s="4" t="inlineStr">
        <is>
          <t>Nhóm</t>
        </is>
      </c>
      <c r="D4" s="4" t="inlineStr">
        <is>
          <t>Vấn đề</t>
        </is>
      </c>
      <c r="E4" s="4" t="inlineStr">
        <is>
          <t>Mã lỗi / số hồ sơ</t>
        </is>
      </c>
      <c r="F4" s="4" t="inlineStr">
        <is>
          <t>Việc cần làm</t>
        </is>
      </c>
    </row>
    <row r="5">
      <c r="A5" s="10" t="n">
        <v>1</v>
      </c>
      <c r="B5" s="11" t="inlineStr">
        <is>
          <t>CNTT + hãng PACS/LIS</t>
        </is>
      </c>
      <c r="C5" s="10" t="inlineStr">
        <is>
          <t>Kỹ thuật – Tích hợp HIS–PACS/LIS</t>
        </is>
      </c>
      <c r="D5" s="10" t="inlineStr">
        <is>
          <t>PACS/LIS trả TÀI KHOẢN MÁY thay mã CCHN người đọc kết quả: vietrad 8.657 HS, mitalab 2.141, sys 322; thêm tên đăng nhập cá nhân (pqa1, ntdh3, ntt73…). Tổng ~11.277 HS</t>
        </is>
      </c>
      <c r="E5" s="10" t="inlineStr">
        <is>
          <t>XMLComplete_NVYT_SAI_DINH_DANG (BS đọc KQ XML4): 11.277 HS</t>
        </is>
      </c>
      <c r="F5" s="10" t="inlineStr">
        <is>
          <t>Kết nối PACS/LIS ánh xạ tài khoản → mã CCHN; cấm ký kết quả bằng tài khoản dùng chung</t>
        </is>
      </c>
    </row>
    <row r="6">
      <c r="A6" s="10" t="n">
        <v>2</v>
      </c>
      <c r="B6" s="11" t="inlineStr">
        <is>
          <t>CNTT + hãng LIS (Mitalab)</t>
        </is>
      </c>
      <c r="C6" s="10" t="inlineStr">
        <is>
          <t>Kỹ thuật – Tích hợp HIS–LIS</t>
        </is>
      </c>
      <c r="D6" s="10" t="inlineStr">
        <is>
          <t>LIS trả chỉ số thiếu mã và tên chỉ số, gần như toàn bộ ở Tổng phân tích tế bào máu 22.0121.1369</t>
        </is>
      </c>
      <c r="E6" s="10" t="inlineStr">
        <is>
          <t>XML4_CHI_SO_EMPTY: 42.590 HS</t>
        </is>
      </c>
      <c r="F6" s="10" t="inlineStr">
        <is>
          <t>Bổ sung ánh xạ chỉ số trên LIS cho các xét nghiệm bị lỗi</t>
        </is>
      </c>
    </row>
    <row r="7">
      <c r="A7" s="10" t="n">
        <v>3</v>
      </c>
      <c r="B7" s="11" t="inlineStr">
        <is>
          <t>CNTT</t>
        </is>
      </c>
      <c r="C7" s="10" t="inlineStr">
        <is>
          <t>Kỹ thuật – HIS</t>
        </is>
      </c>
      <c r="D7" s="10" t="inlineStr">
        <is>
          <t>HIS gửi số CCCD/mã BHXH (12 số) vào NGUOI_THUC_HIEN thay vì mã CCHN: 71 người, ~3.527 HS (5 người có trong DM NVYT theo số định danh)</t>
        </is>
      </c>
      <c r="E7" s="10" t="inlineStr">
        <is>
          <t>XMLComplete_NVYT_SAI_DINH_DANG (phần số định danh)</t>
        </is>
      </c>
      <c r="F7" s="10" t="inlineStr">
        <is>
          <t>Xuất mã CCHN/GPHN, không xuất số định danh</t>
        </is>
      </c>
    </row>
    <row r="8">
      <c r="A8" s="10" t="n">
        <v>4</v>
      </c>
      <c r="B8" s="11" t="inlineStr">
        <is>
          <t>CNTT</t>
        </is>
      </c>
      <c r="C8" s="10" t="inlineStr">
        <is>
          <t>Kỹ thuật – HIS / thiết bị</t>
        </is>
      </c>
      <c r="D8" s="10" t="inlineStr">
        <is>
          <t>Giờ thực hiện DVKT ghi theo lúc bấm: &lt; 3 phút, giờ thực hiện = giờ kết quả (Điện tim, Đường máu mao mạch tại giường)</t>
        </is>
      </c>
      <c r="E8" s="10" t="inlineStr">
        <is>
          <t>UNDER_3MIN 10.212; NGAY_TH_YL = NGAY_KQ 16.251; dài bất thường (mới, cảnh báo) 517 HS</t>
        </is>
      </c>
      <c r="F8" s="10" t="inlineStr">
        <is>
          <t>Lấy giờ bắt đầu/kết thúc thật từ thiết bị/phiếu thực hiện</t>
        </is>
      </c>
    </row>
    <row r="9">
      <c r="A9" s="10" t="n">
        <v>5</v>
      </c>
      <c r="B9" s="11" t="inlineStr">
        <is>
          <t>CNTT</t>
        </is>
      </c>
      <c r="C9" s="10" t="inlineStr">
        <is>
          <t>Kỹ thuật – HIS</t>
        </is>
      </c>
      <c r="D9" s="10" t="inlineStr">
        <is>
          <t>Thiếu người thực hiện, mã máy, thủ trưởng đơn vị khi xuất XML (HIS không bắt buộc / chưa cấu hình người ký). Từ 15/10 quy tắc thiếu mã máy căn cứ danh mục DVKT cần mã máy (thay lọc theo nhóm 1/2/3) nên số hồ sơ thiếu mã máy tăng</t>
        </is>
      </c>
      <c r="E9" s="10" t="inlineStr">
        <is>
          <t>Người TH trống 10.751; mã máy trống 37.554; thủ trưởng đơn vị 1.174 HS</t>
        </is>
      </c>
      <c r="F9" s="10" t="inlineStr">
        <is>
          <t>Bắt buộc nhập trên HIS; cấu hình người ký thủ trưởng cho từng loại giấy</t>
        </is>
      </c>
    </row>
    <row r="10">
      <c r="A10" s="10" t="n">
        <v>6</v>
      </c>
      <c r="B10" s="11" t="inlineStr">
        <is>
          <t>Phòng KHTH</t>
        </is>
      </c>
      <c r="C10" s="10" t="inlineStr">
        <is>
          <t>Nghiệp vụ – Danh mục</t>
        </is>
      </c>
      <c r="D10" s="10" t="inlineStr">
        <is>
          <t>Danh mục DVKT cơ sở 01929 thiếu (8.123 dòng so với 15.660 của 37470), nhiều mã CĐHA (X-quang ngực 18.0119.0028); tên DVKT khác tên phê duyệt</t>
        </is>
      </c>
      <c r="E10" s="10" t="inlineStr">
        <is>
          <t>INVALID_MA_DICH_VU 21.630; XML4 mã DV 20.027; sai tên 828 HS</t>
        </is>
      </c>
      <c r="F10" s="10" t="inlineStr">
        <is>
          <t>Nhập đủ danh mục DVKT đã phê duyệt cho 01929</t>
        </is>
      </c>
    </row>
    <row r="11">
      <c r="A11" s="10" t="n">
        <v>7</v>
      </c>
      <c r="B11" s="11" t="inlineStr">
        <is>
          <t>Phòng TCCB + Phòng BHYT</t>
        </is>
      </c>
      <c r="C11" s="10" t="inlineStr">
        <is>
          <t>Nghiệp vụ – Danh mục</t>
        </is>
      </c>
      <c r="D11" s="10" t="inlineStr">
        <is>
          <t>NVYT (CCHN) chưa có/chưa được duyệt trên cổng BHXH; trạng thái duyệt trên cổng đổi từ 08/10</t>
        </is>
      </c>
      <c r="E11" s="10" t="inlineStr">
        <is>
          <t>XMLComplete_NVYT_KHONG_CO_TRONG_DM 17.673 HS: người TH XML3 15.852; BS đọc KQ XML4 14.996; BS chỉ định XML3 2.998; XML5 2.364; XML2 1.423; XML14 1.240</t>
        </is>
      </c>
      <c r="F11" s="10" t="inlineStr">
        <is>
          <t>Rà soát, đăng ký bổ sung NVYT lên cổng; cập nhật DM NVYT vào phần mềm</t>
        </is>
      </c>
    </row>
    <row r="12">
      <c r="A12" s="10" t="n">
        <v>8</v>
      </c>
      <c r="B12" s="11" t="inlineStr">
        <is>
          <t>Phòng TCKT</t>
        </is>
      </c>
      <c r="C12" s="10" t="inlineStr">
        <is>
          <t>Nghiệp vụ – Danh mục</t>
        </is>
      </c>
      <c r="D12" s="10" t="inlineStr">
        <is>
          <t>Giá DVKT trên HIS cao hơn giá phê duyệt (chưa chặn gửi nhưng BHXH sẽ xuất toán phần chênh)</t>
        </is>
      </c>
      <c r="E12" s="10" t="inlineStr">
        <is>
          <t>XML3_INVALID_APPROVED_DON_GIA_BH: 32.559 HS</t>
        </is>
      </c>
      <c r="F12" s="10" t="inlineStr">
        <is>
          <t>Đối chiếu bảng giá</t>
        </is>
      </c>
    </row>
    <row r="13">
      <c r="A13" s="10" t="n">
        <v>9</v>
      </c>
      <c r="B13" s="11" t="inlineStr">
        <is>
          <t>Phòng VT-TBYT</t>
        </is>
      </c>
      <c r="C13" s="10" t="inlineStr">
        <is>
          <t>Nghiệp vụ – Danh mục</t>
        </is>
      </c>
      <c r="D13" s="10" t="inlineStr">
        <is>
          <t>Danh mục trang thiết bị (mã máy) chưa đủ; VTYT ngoài danh mục / sai tên / vượt giá</t>
        </is>
      </c>
      <c r="E13" s="10" t="inlineStr">
        <is>
          <t>Mã máy không có 44.917; VTYT ngoài DM 72; sai tên 581 HS</t>
        </is>
      </c>
      <c r="F13" s="10" t="inlineStr">
        <is>
          <t>Cập nhật danh mục TTB, VTYT theo thầu</t>
        </is>
      </c>
    </row>
    <row r="14">
      <c r="A14" s="10" t="n">
        <v>10</v>
      </c>
      <c r="B14" s="11" t="inlineStr">
        <is>
          <t>Khoa Dược</t>
        </is>
      </c>
      <c r="C14" s="10" t="inlineStr">
        <is>
          <t>Nghiệp vụ – Danh mục</t>
        </is>
      </c>
      <c r="D14" s="10" t="inlineStr">
        <is>
          <t>Thuốc lệch danh mục được duyệt: dạng bào chế, ĐVT, đường dùng, tên, mã, thầu, SĐK, hàm lượng, giá</t>
        </is>
      </c>
      <c r="E14" s="10" t="inlineStr">
        <is>
          <t>Dạng bào chế 10.016; ĐVT: đã tắt kiểm 15/10; đường dùng 2.929; mã 396; tên 2.614 HS</t>
        </is>
      </c>
      <c r="F14" s="10" t="inlineStr">
        <is>
          <t>Đối chiếu, sửa danh mục thuốc HIS (luật hàm lượng/thầu đã sửa 12/10 – số liệu trước đó có báo nhầm)</t>
        </is>
      </c>
    </row>
    <row r="15">
      <c r="A15" s="10" t="n">
        <v>11</v>
      </c>
      <c r="B15" s="11" t="inlineStr">
        <is>
          <t>Phòng BHYT</t>
        </is>
      </c>
      <c r="C15" s="10" t="inlineStr">
        <is>
          <t>Nghiệp vụ – Quy định BHYT</t>
        </is>
      </c>
      <c r="D15" s="10" t="inlineStr">
        <is>
          <t>Ngày giường (trùng giường, thiếu so với TT39, chưa khai ngày cộng thêm), thừa công khám nội trú, mức hưởng vượt quyền lợi thẻ, PT lần 2 thanh toán 100%</t>
        </is>
      </c>
      <c r="E15" s="10" t="inlineStr">
        <is>
          <t>Trùng giường 9.512; ngày cộng TT39 1.525; thừa công khám 571; mức hưởng 609 HS</t>
        </is>
      </c>
      <c r="F15" s="10" t="inlineStr">
        <is>
          <t>Rà quy tắc ngày giường/công khám/mức hưởng trên HIS cùng CNTT; giám sát tiếp đón</t>
        </is>
      </c>
    </row>
    <row r="16">
      <c r="A16" s="10" t="n">
        <v>12</v>
      </c>
      <c r="B16" s="11" t="inlineStr">
        <is>
          <t>Khoa lâm sàng (qua Phòng KHTH)</t>
        </is>
      </c>
      <c r="C16" s="10" t="inlineStr">
        <is>
          <t>Nghiệp vụ – Chuyên môn lâm sàng</t>
        </is>
      </c>
      <c r="D16" s="10" t="inlineStr">
        <is>
          <t>Bác sĩ chỉ định = người thực hiện; tóm tắt kết quả ghi "xem hs BA"; diễn biến sao chép; mã bệnh Z00; liều dùng sai định dạng; thiếu PP điều trị</t>
        </is>
      </c>
      <c r="E16" s="10" t="inlineStr">
        <is>
          <t>Cùng BS 10.473; tóm tắt ngắn 9.054; Z00 3.007; diễn biến trùng 1.950 HS</t>
        </is>
      </c>
      <c r="F16" s="10" t="inlineStr">
        <is>
          <t>Phổ biến quy định, kiểm tra hồ sơ trước khi khoá bệnh án</t>
        </is>
      </c>
    </row>
    <row r="17">
      <c r="A17" s="10" t="n">
        <v>13</v>
      </c>
      <c r="B17" s="11" t="inlineStr">
        <is>
          <t>Tiếp đón</t>
        </is>
      </c>
      <c r="C17" s="10" t="inlineStr">
        <is>
          <t>Nghiệp vụ – Hành chính</t>
        </is>
      </c>
      <c r="D17" s="10" t="inlineStr">
        <is>
          <t>Thiếu CCCD, dân tộc, nghề nghiệp; mã nơi đi/đến gõ sai</t>
        </is>
      </c>
      <c r="E17" s="10" t="inlineStr">
        <is>
          <t>CCCD 937; nghề nghiệp 112 HS</t>
        </is>
      </c>
      <c r="F17" s="10" t="inlineStr">
        <is>
          <t>Nhập đủ tại tiếp đón</t>
        </is>
      </c>
    </row>
    <row r="18">
      <c r="A18" s="10" t="n">
        <v>14</v>
      </c>
      <c r="B18" s="11" t="inlineStr">
        <is>
          <t>Đơn vị PM Tiền giám định</t>
        </is>
      </c>
      <c r="C18" s="10" t="inlineStr">
        <is>
          <t>Kỹ thuật – Phần mềm</t>
        </is>
      </c>
      <c r="D18" s="10" t="inlineStr">
        <is>
          <t>Cơ sở 37470 từng chưa có trong danh mục CSKCB của phần mềm kiểm → chặn oan. ĐÃ XỬ LÝ: kiểm lại 16/10/2026 không còn hồ sơ lỗi</t>
        </is>
      </c>
      <c r="E18" s="10" t="inlineStr">
        <is>
          <t>XML1_ADMIN_INFO_ERROR_MA_CSKCB_NOT_FOUND: 0 HS</t>
        </is>
      </c>
      <c r="F18" s="10" t="inlineStr">
        <is>
          <t>Đã bổ sung 37470 vào DM CSKCB — không cần xử lý thêm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8" customWidth="1" min="1" max="1"/>
    <col width="22" customWidth="1" min="2" max="2"/>
    <col width="11" customWidth="1" min="3" max="3"/>
    <col width="28" customWidth="1" min="4" max="4"/>
    <col width="22" customWidth="1" min="5" max="5"/>
    <col width="52" customWidth="1" min="6" max="6"/>
    <col width="44" customWidth="1" min="7" max="7"/>
  </cols>
  <sheetData>
    <row r="1">
      <c r="A1" s="1" t="inlineStr">
        <is>
          <t>MÃ NGƯỜI ĐỌC KẾT QUẢ / NGƯỜI THỰC HIỆN KHÔNG PHẢI MÃ CCHN</t>
        </is>
      </c>
    </row>
    <row r="2">
      <c r="A2" s="2" t="inlineStr">
        <is>
          <t>Tách từ XMLComplete_NVYT_SAI_DINH_DANG (từ 15/10/2026 thay XML4_INFO_ERROR_MA_BS_DOC_KQ_NOT_FOUND và XML3_INFO_ERROR_NGUOI_THUC_HIEN_NOT_FOUND), hồ sơ nạp từ 01/09/2026, kiểm lại toàn bộ 16/10/2026.</t>
        </is>
      </c>
    </row>
    <row r="4" ht="34" customHeight="1">
      <c r="A4" s="4" t="inlineStr">
        <is>
          <t>Giá trị gửi lên</t>
        </is>
      </c>
      <c r="B4" s="4" t="inlineStr">
        <is>
          <t>Trường</t>
        </is>
      </c>
      <c r="C4" s="4" t="inlineStr">
        <is>
          <t>Số hồ sơ</t>
        </is>
      </c>
      <c r="D4" s="4" t="inlineStr">
        <is>
          <t>Loại</t>
        </is>
      </c>
      <c r="E4" s="4" t="inlineStr">
        <is>
          <t>Nguồn</t>
        </is>
      </c>
      <c r="F4" s="4" t="inlineStr">
        <is>
          <t>Dịch vụ điển hình</t>
        </is>
      </c>
      <c r="G4" s="4" t="inlineStr">
        <is>
          <t>Xử lý</t>
        </is>
      </c>
    </row>
    <row r="5">
      <c r="A5" s="10" t="inlineStr">
        <is>
          <t>vietrad</t>
        </is>
      </c>
      <c r="B5" s="10" t="inlineStr">
        <is>
          <t>MA_BS_DOC_KQ (XML4)</t>
        </is>
      </c>
      <c r="C5" s="12" t="n">
        <v>8657</v>
      </c>
      <c r="D5" s="10" t="inlineStr">
        <is>
          <t>Tài khoản hệ thống PACS</t>
        </is>
      </c>
      <c r="E5" s="10" t="inlineStr">
        <is>
          <t>Tích hợp HIS–PACS</t>
        </is>
      </c>
      <c r="F5" s="10" t="inlineStr">
        <is>
          <t>Siêu âm ổ bụng 18.0015.0001; X-quang ngực thẳng 18.0119.0028</t>
        </is>
      </c>
      <c r="G5" s="10" t="inlineStr">
        <is>
          <t>PACS trả mã CCHN của bác sĩ ký kết quả</t>
        </is>
      </c>
    </row>
    <row r="6">
      <c r="A6" s="10" t="inlineStr">
        <is>
          <t>mitalab</t>
        </is>
      </c>
      <c r="B6" s="10" t="inlineStr">
        <is>
          <t>MA_BS_DOC_KQ (XML4)</t>
        </is>
      </c>
      <c r="C6" s="12" t="n">
        <v>2141</v>
      </c>
      <c r="D6" s="10" t="inlineStr">
        <is>
          <t>Tài khoản hệ thống LIS</t>
        </is>
      </c>
      <c r="E6" s="10" t="inlineStr">
        <is>
          <t>Tích hợp HIS–LIS</t>
        </is>
      </c>
      <c r="F6" s="10" t="inlineStr">
        <is>
          <t>Tổng phân tích tế bào máu 22.0121.1369; Khí máu 23.0103.1531; Tủy đồ 22.0129.1415</t>
        </is>
      </c>
      <c r="G6" s="10" t="inlineStr">
        <is>
          <t>LIS trả mã CCHN của người duyệt kết quả</t>
        </is>
      </c>
    </row>
    <row r="7">
      <c r="A7" s="10" t="inlineStr">
        <is>
          <t>sys</t>
        </is>
      </c>
      <c r="B7" s="10" t="inlineStr">
        <is>
          <t>MA_BS_DOC_KQ (XML4)</t>
        </is>
      </c>
      <c r="C7" s="12" t="n">
        <v>322</v>
      </c>
      <c r="D7" s="10" t="inlineStr">
        <is>
          <t>Tài khoản quản trị</t>
        </is>
      </c>
      <c r="E7" s="10" t="inlineStr">
        <is>
          <t>Tích hợp HIS–PACS</t>
        </is>
      </c>
      <c r="F7" s="10" t="inlineStr">
        <is>
          <t>Siêu âm ổ bụng, Siêu âm tuyến giáp</t>
        </is>
      </c>
      <c r="G7" s="10" t="inlineStr">
        <is>
          <t>Không cho ký kết quả bằng tài khoản quản trị</t>
        </is>
      </c>
    </row>
    <row r="8">
      <c r="A8" s="10" t="inlineStr">
        <is>
          <t>pqa1, ntdh3, ntt73, tth55, ntth66, dtt15, LQH, dtt30, phn3, dsl, hvh3, TTH39, ptc4, bvt, ndb11, vttq2, dtn7, pat…</t>
        </is>
      </c>
      <c r="B8" s="10" t="inlineStr">
        <is>
          <t>MA_BS_DOC_KQ (XML4)</t>
        </is>
      </c>
      <c r="C8" s="12" t="n">
        <v>925</v>
      </c>
      <c r="D8" s="10" t="inlineStr">
        <is>
          <t>Tên đăng nhập cá nhân</t>
        </is>
      </c>
      <c r="E8" s="10" t="inlineStr">
        <is>
          <t>Tích hợp HIS–PACS/LIS</t>
        </is>
      </c>
      <c r="F8" s="10" t="inlineStr">
        <is>
          <t>X-quang (PACS) …</t>
        </is>
      </c>
      <c r="G8" s="10" t="inlineStr">
        <is>
          <t>Ánh xạ tên đăng nhập → mã CCHN</t>
        </is>
      </c>
    </row>
    <row r="9">
      <c r="A9" s="10" t="inlineStr">
        <is>
          <t>028322, 034664, 035378, 035230…</t>
        </is>
      </c>
      <c r="B9" s="10" t="inlineStr">
        <is>
          <t>MA_BS_DOC_KQ (XML4)</t>
        </is>
      </c>
      <c r="C9" s="12" t="n">
        <v>38</v>
      </c>
      <c r="D9" s="10" t="inlineStr">
        <is>
          <t>Số thiếu phần /BYT-CCHN</t>
        </is>
      </c>
      <c r="E9" s="10" t="inlineStr">
        <is>
          <t>Tích hợp HIS–PACS/LIS</t>
        </is>
      </c>
      <c r="F9" s="10" t="inlineStr"/>
      <c r="G9" s="10" t="inlineStr">
        <is>
          <t>Trả đủ mã CCHN</t>
        </is>
      </c>
    </row>
    <row r="10">
      <c r="A10" s="10" t="inlineStr">
        <is>
          <t>Số CCCD/mã BHXH 12 chữ số (71 người)</t>
        </is>
      </c>
      <c r="B10" s="10" t="inlineStr">
        <is>
          <t>NGUOI_THUC_HIEN (XML3)</t>
        </is>
      </c>
      <c r="C10" s="12" t="n">
        <v>3527</v>
      </c>
      <c r="D10" s="10" t="inlineStr">
        <is>
          <t>Số định danh thay mã CCHN</t>
        </is>
      </c>
      <c r="E10" s="10" t="inlineStr">
        <is>
          <t>HIS</t>
        </is>
      </c>
      <c r="F10" s="10" t="inlineStr"/>
      <c r="G10" s="10" t="inlineStr">
        <is>
          <t>HIS xuất mã CCHN/GPHN; 5 người khớp DM NVYT theo số định danh</t>
        </is>
      </c>
    </row>
    <row r="11">
      <c r="A11" s="10" t="inlineStr">
        <is>
          <t>CNTT</t>
        </is>
      </c>
      <c r="B11" s="10" t="inlineStr">
        <is>
          <t>NGUOI_THUC_HIEN (XML3)</t>
        </is>
      </c>
      <c r="C11" s="12" t="n">
        <v>1</v>
      </c>
      <c r="D11" s="10" t="inlineStr">
        <is>
          <t>Tài khoản dùng chung</t>
        </is>
      </c>
      <c r="E11" s="10" t="inlineStr">
        <is>
          <t>HIS</t>
        </is>
      </c>
      <c r="F11" s="10" t="inlineStr"/>
      <c r="G11" s="10" t="inlineStr">
        <is>
          <t>Không cho tài khoản CNTT thực hiện DVKT</t>
        </is>
      </c>
    </row>
    <row r="13">
      <c r="A13" s="13" t="inlineStr">
        <is>
          <t>Ghi chú: mã CCHN đúng định dạng nhưng chưa có/chưa được duyệt trong danh mục NVYT (XMLComplete_NVYT_KHONG_CO_TRONG_DM) – BS đọc KQ XML4: 47 mã, 14.996 HS; người thực hiện XML3: 66 mã, 15.852 HS → thuộc Phòng TCCB/Phòng BHYT.</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P25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34" customWidth="1" min="2" max="2"/>
    <col width="9" customWidth="1" min="3" max="3"/>
    <col width="36" customWidth="1" min="4" max="4"/>
    <col width="9" customWidth="1" min="5" max="5"/>
    <col width="9" customWidth="1" min="6" max="6"/>
    <col width="11" customWidth="1" min="7" max="7"/>
    <col width="9" customWidth="1" min="8" max="8"/>
    <col width="46" customWidth="1" min="9" max="9"/>
    <col width="12" customWidth="1" min="10" max="10"/>
    <col width="30" customWidth="1" min="11" max="11"/>
    <col width="20" customWidth="1" min="12" max="12"/>
    <col width="28" customWidth="1" min="13" max="13"/>
    <col width="52" customWidth="1" min="14" max="14"/>
    <col width="16" customWidth="1" min="15" max="15"/>
    <col width="13" customWidth="1" min="16" max="16"/>
  </cols>
  <sheetData>
    <row r="1">
      <c r="A1" s="1" t="inlineStr">
        <is>
          <t>PHÂN LOẠI DANH MỤC LỖI XML3176 THEO NGUỒN PHÁT SINH VÀ ĐƠN VỊ XỬ LÝ</t>
        </is>
      </c>
    </row>
    <row r="2">
      <c r="A2" s="2" t="inlineStr">
        <is>
          <t>Số hồ sơ: KIỂM LẠI TOÀN BỘ ngày 16/10/2026 bằng bộ kiểm hiện tại (commit 63e21fa8) trên 68.213 hồ sơ nạp từ 01/09/2026 (không lỗi chạy). Số liệu phản ánh quy tắc đang áp dụng: gồm cả lỗi do quy tắc mới (vật phẩm kèm DVKT, thời gian thực hiện dài bất thường, mã máy theo danh mục DVKT cần mã máy…) và các mã đã gộp (34 mã NVYT → 3 mã XMLComplete_NVYT_*, mã/tên chỉ số trống → XML4_CHI_SO_EMPTY). Cột P = số hồ sơ ở bản 14/10/2026 để so sánh. Một hồ sơ có thể mang nhiều mã lỗi nên không cộng dồn số hồ sơ giữa các dòng.</t>
        </is>
      </c>
    </row>
    <row r="4" ht="34" customHeight="1">
      <c r="A4" s="4" t="inlineStr">
        <is>
          <t>STT</t>
        </is>
      </c>
      <c r="B4" s="4" t="inlineStr">
        <is>
          <t>Mã lỗi</t>
        </is>
      </c>
      <c r="C4" s="4" t="inlineStr">
        <is>
          <t>XML</t>
        </is>
      </c>
      <c r="D4" s="4" t="inlineStr">
        <is>
          <t>Tên lỗi</t>
        </is>
      </c>
      <c r="E4" s="4" t="inlineStr">
        <is>
          <t>Chặn gửi</t>
        </is>
      </c>
      <c r="F4" s="4" t="inlineStr">
        <is>
          <t>Đang kiểm</t>
        </is>
      </c>
      <c r="G4" s="4" t="inlineStr">
        <is>
          <t>Số hồ sơ</t>
        </is>
      </c>
      <c r="H4" s="4" t="inlineStr">
        <is>
          <t>% hồ sơ</t>
        </is>
      </c>
      <c r="I4" s="4" t="inlineStr">
        <is>
          <t>Ví dụ thực tế</t>
        </is>
      </c>
      <c r="J4" s="4" t="inlineStr">
        <is>
          <t>Nhóm lớn</t>
        </is>
      </c>
      <c r="K4" s="4" t="inlineStr">
        <is>
          <t>Phân nhóm</t>
        </is>
      </c>
      <c r="L4" s="4" t="inlineStr">
        <is>
          <t>Đơn vị chủ trì</t>
        </is>
      </c>
      <c r="M4" s="4" t="inlineStr">
        <is>
          <t>Đơn vị phối hợp</t>
        </is>
      </c>
      <c r="N4" s="4" t="inlineStr">
        <is>
          <t>Hướng xử lý</t>
        </is>
      </c>
      <c r="O4" s="4" t="inlineStr">
        <is>
          <t>FIXERROR hệ thống khác tự sửa (quy tắc số)</t>
        </is>
      </c>
      <c r="P4" s="4" t="inlineStr">
        <is>
          <t>Số HS bản 14/10/2026</t>
        </is>
      </c>
    </row>
    <row r="5">
      <c r="A5" s="10" t="n">
        <v>1</v>
      </c>
      <c r="B5" s="10" t="inlineStr">
        <is>
          <t>XML3_INFO_ERROR_MA_MAY_NOT_FOUND</t>
        </is>
      </c>
      <c r="C5" s="10" t="inlineStr">
        <is>
          <t>XML3</t>
        </is>
      </c>
      <c r="D5" s="10" t="inlineStr">
        <is>
          <t>Mã máy không tồn tại trong danh mục trang thiết bị</t>
        </is>
      </c>
      <c r="E5" s="10" t="inlineStr">
        <is>
          <t>Không</t>
        </is>
      </c>
      <c r="F5" s="10" t="inlineStr">
        <is>
          <t>Có</t>
        </is>
      </c>
      <c r="G5" s="12" t="n">
        <v>44917</v>
      </c>
      <c r="H5" s="14">
        <f>G5/68213</f>
        <v/>
      </c>
      <c r="I5" s="10" t="inlineStr">
        <is>
          <t>Mã máy không tồn tại: ĐX.2.000895</t>
        </is>
      </c>
      <c r="J5" s="10" t="inlineStr">
        <is>
          <t>Nghiệp vụ</t>
        </is>
      </c>
      <c r="K5" s="10" t="inlineStr">
        <is>
          <t>Nghiệp vụ – Danh mục</t>
        </is>
      </c>
      <c r="L5" s="10" t="inlineStr">
        <is>
          <t>Phòng VT-TBYT</t>
        </is>
      </c>
      <c r="M5" s="10" t="inlineStr">
        <is>
          <t>Phòng BHYT; CNTT</t>
        </is>
      </c>
      <c r="N5" s="10" t="inlineStr">
        <is>
          <t>Cập nhật danh mục trang thiết bị (mã máy) lên cổng và vào phần mềm</t>
        </is>
      </c>
      <c r="O5" s="10" t="n"/>
      <c r="P5" s="17" t="n">
        <v>40492</v>
      </c>
    </row>
    <row r="6">
      <c r="A6" s="10" t="n">
        <v>2</v>
      </c>
      <c r="B6" s="10" t="inlineStr">
        <is>
          <t>XML4_CHI_SO_EMPTY</t>
        </is>
      </c>
      <c r="C6" s="10" t="inlineStr">
        <is>
          <t>XML4</t>
        </is>
      </c>
      <c r="D6" s="10" t="inlineStr">
        <is>
          <t>Mã/tên chỉ số để trống</t>
        </is>
      </c>
      <c r="E6" s="10" t="inlineStr">
        <is>
          <t>Không</t>
        </is>
      </c>
      <c r="F6" s="10" t="inlineStr">
        <is>
          <t>Có</t>
        </is>
      </c>
      <c r="G6" s="12" t="n">
        <v>42590</v>
      </c>
      <c r="H6" s="14">
        <f>G6/68213</f>
        <v/>
      </c>
      <c r="I6" s="10" t="inlineStr">
        <is>
          <t>Dòng có giá trị/đơn vị đo nhưng thiếu mã chỉ số và tên chỉ số. Dịch vụ: 22.0121.1369</t>
        </is>
      </c>
      <c r="J6" s="10" t="inlineStr">
        <is>
          <t>Kỹ thuật</t>
        </is>
      </c>
      <c r="K6" s="10" t="inlineStr">
        <is>
          <t>Kỹ thuật – Tích hợp HIS–LIS</t>
        </is>
      </c>
      <c r="L6" s="10" t="inlineStr">
        <is>
          <t>CNTT</t>
        </is>
      </c>
      <c r="M6" s="10" t="inlineStr">
        <is>
          <t>Hãng LIS (Mitalab); Khoa Xét nghiệm</t>
        </is>
      </c>
      <c r="N6" s="10" t="inlineStr">
        <is>
          <t>Bổ sung ánh xạ mã/tên chỉ số trên kết nối LIS → HIS (gộp hai mã cũ mã chỉ số trống + tên chỉ số trống từ 15/10)</t>
        </is>
      </c>
      <c r="O6" s="10" t="n"/>
      <c r="P6" s="17" t="n"/>
    </row>
    <row r="7">
      <c r="A7" s="10" t="n">
        <v>3</v>
      </c>
      <c r="B7" s="10" t="inlineStr">
        <is>
          <t>XML3_INFO_ERROR_GROUP_CODE_MA_MAY</t>
        </is>
      </c>
      <c r="C7" s="10" t="inlineStr">
        <is>
          <t>XML3</t>
        </is>
      </c>
      <c r="D7" s="10" t="inlineStr">
        <is>
          <t>Thiếu mã máy</t>
        </is>
      </c>
      <c r="E7" s="10" t="inlineStr">
        <is>
          <t>Không</t>
        </is>
      </c>
      <c r="F7" s="10" t="inlineStr">
        <is>
          <t>Có</t>
        </is>
      </c>
      <c r="G7" s="12" t="n">
        <v>37554</v>
      </c>
      <c r="H7" s="14">
        <f>G7/68213</f>
        <v/>
      </c>
      <c r="I7" s="10" t="inlineStr">
        <is>
          <t>Mã máy không được để trống đối với DVKT: Đốt sóng cao tần điều trị ung thư gan (RFA) dưới hướng dẫn siêu âm (mã 18.0614.0063)</t>
        </is>
      </c>
      <c r="J7" s="10" t="inlineStr">
        <is>
          <t>Kỹ thuật</t>
        </is>
      </c>
      <c r="K7" s="10" t="inlineStr">
        <is>
          <t>Kỹ thuật – Tích hợp HIS–PACS/LIS</t>
        </is>
      </c>
      <c r="L7" s="10" t="inlineStr">
        <is>
          <t>CNTT</t>
        </is>
      </c>
      <c r="M7" s="10" t="inlineStr">
        <is>
          <t>Phòng VT-TBYT; Hãng PACS; Hãng LIS</t>
        </is>
      </c>
      <c r="N7" s="10" t="inlineStr">
        <is>
          <t>Kết nối thiết bị/PACS/LIS trả mã máy thực hiện; HIS bắt buộc mã máy với DVKT yêu cầu</t>
        </is>
      </c>
      <c r="O7" s="10" t="n"/>
      <c r="P7" s="17" t="n">
        <v>8311</v>
      </c>
    </row>
    <row r="8">
      <c r="A8" s="10" t="n">
        <v>4</v>
      </c>
      <c r="B8" s="10" t="inlineStr">
        <is>
          <t>XML3_INVALID_APPROVED_DON_GIA_BH</t>
        </is>
      </c>
      <c r="C8" s="10" t="inlineStr">
        <is>
          <t>XML3</t>
        </is>
      </c>
      <c r="D8" s="10" t="inlineStr">
        <is>
          <t>Giá DVKT cao hơn giá được phê duyệt</t>
        </is>
      </c>
      <c r="E8" s="10" t="inlineStr">
        <is>
          <t>Không</t>
        </is>
      </c>
      <c r="F8" s="10" t="inlineStr">
        <is>
          <t>Có</t>
        </is>
      </c>
      <c r="G8" s="12" t="n">
        <v>32559</v>
      </c>
      <c r="H8" s="14">
        <f>G8/68213</f>
        <v/>
      </c>
      <c r="I8" s="10" t="inlineStr">
        <is>
          <t>Mã DVKT: 28.0467.1134; Có giá: 19616000; Giá phê duyệt nhỏ hơn: 4815700.00</t>
        </is>
      </c>
      <c r="J8" s="10" t="inlineStr">
        <is>
          <t>Nghiệp vụ</t>
        </is>
      </c>
      <c r="K8" s="10" t="inlineStr">
        <is>
          <t>Nghiệp vụ – Danh mục</t>
        </is>
      </c>
      <c r="L8" s="10" t="inlineStr">
        <is>
          <t>Phòng TCKT</t>
        </is>
      </c>
      <c r="M8" s="10" t="inlineStr">
        <is>
          <t>Phòng KHTH; CNTT</t>
        </is>
      </c>
      <c r="N8" s="10" t="inlineStr">
        <is>
          <t>Đối chiếu bảng giá DVKT trên HIS với giá phê duyệt</t>
        </is>
      </c>
      <c r="O8" s="10" t="n"/>
      <c r="P8" s="17" t="n">
        <v>30359</v>
      </c>
    </row>
    <row r="9">
      <c r="A9" s="10" t="n">
        <v>5</v>
      </c>
      <c r="B9" s="10" t="inlineStr">
        <is>
          <t>XML3_INVALID_MA_DICH_VU</t>
        </is>
      </c>
      <c r="C9" s="10" t="inlineStr">
        <is>
          <t>XML3</t>
        </is>
      </c>
      <c r="D9" s="10" t="inlineStr">
        <is>
          <t>Mã dịch vụ không tồn tại</t>
        </is>
      </c>
      <c r="E9" s="10" t="inlineStr">
        <is>
          <t>Có</t>
        </is>
      </c>
      <c r="F9" s="10" t="inlineStr">
        <is>
          <t>Có</t>
        </is>
      </c>
      <c r="G9" s="12" t="n">
        <v>21630</v>
      </c>
      <c r="H9" s="14">
        <f>G9/68213</f>
        <v/>
      </c>
      <c r="I9" s="10" t="inlineStr">
        <is>
          <t>Dịch vụ không tồn tại trong DM DVKT: _TB</t>
        </is>
      </c>
      <c r="J9" s="10" t="inlineStr">
        <is>
          <t>Nghiệp vụ</t>
        </is>
      </c>
      <c r="K9" s="10" t="inlineStr">
        <is>
          <t>Nghiệp vụ – Danh mục</t>
        </is>
      </c>
      <c r="L9" s="10" t="inlineStr">
        <is>
          <t>Phòng KHTH</t>
        </is>
      </c>
      <c r="M9" s="10" t="inlineStr">
        <is>
          <t>Phòng BHYT; CNTT</t>
        </is>
      </c>
      <c r="N9" s="10" t="inlineStr">
        <is>
          <t>Nhập đủ danh mục DVKT đã được BHXH phê duyệt (cơ sở 01929 chỉ có 8.123 dòng so với 15.660 của 37470); tên DVKT trên HIS theo đúng tên phê duyệt</t>
        </is>
      </c>
      <c r="O9" s="10" t="n"/>
      <c r="P9" s="17" t="n">
        <v>19524</v>
      </c>
    </row>
    <row r="10">
      <c r="A10" s="10" t="n">
        <v>6</v>
      </c>
      <c r="B10" s="10" t="inlineStr">
        <is>
          <t>XML4_INFO_ERROR_MA_DICH_VU_NOT_FOUND</t>
        </is>
      </c>
      <c r="C10" s="10" t="inlineStr">
        <is>
          <t>XML4</t>
        </is>
      </c>
      <c r="D10" s="10" t="inlineStr">
        <is>
          <t>Mã dịch vụ không tồn tại</t>
        </is>
      </c>
      <c r="E10" s="10" t="inlineStr">
        <is>
          <t>Có</t>
        </is>
      </c>
      <c r="F10" s="10" t="inlineStr">
        <is>
          <t>Có</t>
        </is>
      </c>
      <c r="G10" s="12" t="n">
        <v>20027</v>
      </c>
      <c r="H10" s="14">
        <f>G10/68213</f>
        <v/>
      </c>
      <c r="I10" s="10" t="inlineStr">
        <is>
          <t>Mã dịch vụ không tồn tại trong danh mục DVKT: 24.0108.1720.SC2</t>
        </is>
      </c>
      <c r="J10" s="10" t="inlineStr">
        <is>
          <t>Nghiệp vụ</t>
        </is>
      </c>
      <c r="K10" s="10" t="inlineStr">
        <is>
          <t>Nghiệp vụ – Danh mục</t>
        </is>
      </c>
      <c r="L10" s="10" t="inlineStr">
        <is>
          <t>Phòng KHTH</t>
        </is>
      </c>
      <c r="M10" s="10" t="inlineStr">
        <is>
          <t>Phòng BHYT; CNTT</t>
        </is>
      </c>
      <c r="N10" s="10" t="inlineStr">
        <is>
          <t>Nhập đủ danh mục DVKT đã được BHXH phê duyệt (cơ sở 01929 chỉ có 8.123 dòng so với 15.660 của 37470); tên DVKT trên HIS theo đúng tên phê duyệt</t>
        </is>
      </c>
      <c r="O10" s="10" t="n"/>
      <c r="P10" s="17" t="n">
        <v>18022</v>
      </c>
    </row>
    <row r="11">
      <c r="A11" s="10" t="n">
        <v>7</v>
      </c>
      <c r="B11" s="10" t="inlineStr">
        <is>
          <t>XMLComplete_NVYT_KHONG_CO_TRONG_DM</t>
        </is>
      </c>
      <c r="C11" s="10" t="inlineStr">
        <is>
          <t>XMLComplete</t>
        </is>
      </c>
      <c r="D11" s="10" t="inlineStr">
        <is>
          <t>Mã nhân viên y tế không có trong danh mục NVYT</t>
        </is>
      </c>
      <c r="E11" s="10" t="inlineStr">
        <is>
          <t>Không</t>
        </is>
      </c>
      <c r="F11" s="10" t="inlineStr">
        <is>
          <t>Có</t>
        </is>
      </c>
      <c r="G11" s="12" t="n">
        <v>17673</v>
      </c>
      <c r="H11" s="14">
        <f>G11/68213</f>
        <v/>
      </c>
      <c r="I11" s="10" t="inlineStr">
        <is>
          <t>032154/BYT-CCHN không có trong danh mục NVYT — người thực hiện XML3 (1 dòng: Siêu âm doppler tim, van tim), BS đọc KQ XML4 (1 dòng: 18.0052.0004)</t>
        </is>
      </c>
      <c r="J11" s="10" t="inlineStr">
        <is>
          <t>Nghiệp vụ</t>
        </is>
      </c>
      <c r="K11" s="10" t="inlineStr">
        <is>
          <t>Nghiệp vụ – Danh mục</t>
        </is>
      </c>
      <c r="L11" s="10" t="inlineStr">
        <is>
          <t>Phòng TCCB</t>
        </is>
      </c>
      <c r="M11" s="10" t="inlineStr">
        <is>
          <t>Phòng BHYT; CNTT</t>
        </is>
      </c>
      <c r="N11" s="10" t="inlineStr">
        <is>
          <t>Rà soát, đăng ký bổ sung NVYT lên cổng; cập nhật DM NVYT vào phần mềm (gộp các mã NVYT "không tồn tại" cũ từ 15/10)</t>
        </is>
      </c>
      <c r="O11" s="10" t="inlineStr">
        <is>
          <t>#35</t>
        </is>
      </c>
      <c r="P11" s="17" t="n"/>
    </row>
    <row r="12">
      <c r="A12" s="10" t="n">
        <v>8</v>
      </c>
      <c r="B12" s="10" t="inlineStr">
        <is>
          <t>XML3_NGAY_TH_YL_EQUALS_NGAY_KQ</t>
        </is>
      </c>
      <c r="C12" s="10" t="inlineStr">
        <is>
          <t>XML3</t>
        </is>
      </c>
      <c r="D12" s="10" t="inlineStr">
        <is>
          <t>Thời gian thực hiện y lệnh trùng thời gian kết quả</t>
        </is>
      </c>
      <c r="E12" s="10" t="inlineStr">
        <is>
          <t>Không</t>
        </is>
      </c>
      <c r="F12" s="10" t="inlineStr">
        <is>
          <t>Có</t>
        </is>
      </c>
      <c r="G12" s="12" t="n">
        <v>16251</v>
      </c>
      <c r="H12" s="14">
        <f>G12/68213</f>
        <v/>
      </c>
      <c r="I12" s="10" t="inlineStr">
        <is>
          <t>NGAY_TH_YL = NGAY_KQ = 31/08/2026 23:11. Dịch vụ: Xét nghiệm đường máu mao mạch tại giường (một lần)</t>
        </is>
      </c>
      <c r="J12" s="10" t="inlineStr">
        <is>
          <t>Kỹ thuật</t>
        </is>
      </c>
      <c r="K12" s="10" t="inlineStr">
        <is>
          <t>Kỹ thuật – HIS</t>
        </is>
      </c>
      <c r="L12" s="10" t="inlineStr">
        <is>
          <t>CNTT</t>
        </is>
      </c>
      <c r="M12" s="10" t="inlineStr">
        <is>
          <t>Khoa lâm sàng; Khoa thăm dò chức năng</t>
        </is>
      </c>
      <c r="N12" s="10" t="inlineStr">
        <is>
          <t>Giờ bắt đầu/kết thúc phải là giờ thực hiện thật, không lấy giờ bấm trả kết quả (Điện tim, Đường máu mao mạch tại giường…)</t>
        </is>
      </c>
      <c r="O12" s="10" t="inlineStr">
        <is>
          <t>#33</t>
        </is>
      </c>
      <c r="P12" s="17" t="n">
        <v>13384</v>
      </c>
    </row>
    <row r="13">
      <c r="A13" s="10" t="n">
        <v>9</v>
      </c>
      <c r="B13" s="10" t="inlineStr">
        <is>
          <t>XMLComplete_NVYT_SAI_DINH_DANG</t>
        </is>
      </c>
      <c r="C13" s="10" t="inlineStr">
        <is>
          <t>XMLComplete</t>
        </is>
      </c>
      <c r="D13" s="10" t="inlineStr">
        <is>
          <t>Mã nhân viên y tế sai định danh</t>
        </is>
      </c>
      <c r="E13" s="10" t="inlineStr">
        <is>
          <t>Không</t>
        </is>
      </c>
      <c r="F13" s="10" t="inlineStr">
        <is>
          <t>Có</t>
        </is>
      </c>
      <c r="G13" s="12" t="n">
        <v>13486</v>
      </c>
      <c r="H13" s="14">
        <f>G13/68213</f>
        <v/>
      </c>
      <c r="I13" s="10" t="inlineStr">
        <is>
          <t>vietrad là tài khoản/tên đăng nhập, không phải mã CCHN — BS đọc KQ XML4 (1 dòng: 18.0015.0001)</t>
        </is>
      </c>
      <c r="J13" s="10" t="inlineStr">
        <is>
          <t>Kỹ thuật</t>
        </is>
      </c>
      <c r="K13" s="10" t="inlineStr">
        <is>
          <t>Kỹ thuật – Tích hợp HIS–PACS/LIS</t>
        </is>
      </c>
      <c r="L13" s="10" t="inlineStr">
        <is>
          <t>CNTT</t>
        </is>
      </c>
      <c r="M13" s="10" t="inlineStr">
        <is>
          <t>Hãng PACS (Vietrad); Hãng LIS (Mitalab); Phòng TCCB</t>
        </is>
      </c>
      <c r="N13" s="10" t="inlineStr">
        <is>
          <t>PACS/LIS/HIS trả mã CCHN thay cho tài khoản/số định danh – xem sheet "Tài khoản thay CCHN"</t>
        </is>
      </c>
      <c r="O13" s="10" t="inlineStr">
        <is>
          <t>#39</t>
        </is>
      </c>
      <c r="P13" s="17" t="n"/>
    </row>
    <row r="14">
      <c r="A14" s="10" t="n">
        <v>10</v>
      </c>
      <c r="B14" s="10" t="inlineStr">
        <is>
          <t>XMLComplete_NVYT_THIEU</t>
        </is>
      </c>
      <c r="C14" s="10" t="inlineStr">
        <is>
          <t>XMLComplete</t>
        </is>
      </c>
      <c r="D14" s="10" t="inlineStr">
        <is>
          <t>Thiếu mã nhân viên y tế</t>
        </is>
      </c>
      <c r="E14" s="10" t="inlineStr">
        <is>
          <t>Có</t>
        </is>
      </c>
      <c r="F14" s="10" t="inlineStr">
        <is>
          <t>Có</t>
        </is>
      </c>
      <c r="G14" s="12" t="n">
        <v>12267</v>
      </c>
      <c r="H14" s="14">
        <f>G14/68213</f>
        <v/>
      </c>
      <c r="I14" s="10" t="inlineStr">
        <is>
          <t>Thiếu mã người thực hiện ở 1 dòng: XML3 (1 dòng: Siêu âm ổ bụng (gan mật, tụy, lách, thận, bàng quang)).</t>
        </is>
      </c>
      <c r="J14" s="10" t="inlineStr">
        <is>
          <t>Kỹ thuật</t>
        </is>
      </c>
      <c r="K14" s="10" t="inlineStr">
        <is>
          <t>Kỹ thuật – Tích hợp HIS–PACS/LIS</t>
        </is>
      </c>
      <c r="L14" s="10" t="inlineStr">
        <is>
          <t>CNTT</t>
        </is>
      </c>
      <c r="M14" s="10" t="inlineStr">
        <is>
          <t>Khoa Xét nghiệm; Khoa CĐHA; Khoa lâm sàng</t>
        </is>
      </c>
      <c r="N14" s="10" t="inlineStr">
        <is>
          <t>Bắt buộc nhập người thực hiện/BS đọc KQ trên HIS; cấu hình người ký thủ trưởng (gộp các mã NVYT "để trống" cũ từ 15/10)</t>
        </is>
      </c>
      <c r="O14" s="10" t="inlineStr">
        <is>
          <t>#35</t>
        </is>
      </c>
      <c r="P14" s="17" t="n"/>
    </row>
    <row r="15">
      <c r="A15" s="10" t="n">
        <v>11</v>
      </c>
      <c r="B15" s="10" t="inlineStr">
        <is>
          <t>XML3_SAME_DOCTOR_ORDER_AND_EXECUTE</t>
        </is>
      </c>
      <c r="C15" s="10" t="inlineStr">
        <is>
          <t>XML3</t>
        </is>
      </c>
      <c r="D15" s="10" t="inlineStr">
        <is>
          <t>Bác sĩ vừa ra y lệnh vừa thực hiện</t>
        </is>
      </c>
      <c r="E15" s="10" t="inlineStr">
        <is>
          <t>Không</t>
        </is>
      </c>
      <c r="F15" s="10" t="inlineStr">
        <is>
          <t>Có</t>
        </is>
      </c>
      <c r="G15" s="12" t="n">
        <v>10473</v>
      </c>
      <c r="H15" s="14">
        <f>G15/68213</f>
        <v/>
      </c>
      <c r="I15" s="10" t="inlineStr">
        <is>
          <t>Mã bác sĩ = người thực hiện = 5301/BP-CCHN. Dịch vụ: Định nhóm máu tại giường bệnh trước truyền máu [khối hồng cầu, khối bạch cầu]</t>
        </is>
      </c>
      <c r="J15" s="10" t="inlineStr">
        <is>
          <t>Nghiệp vụ</t>
        </is>
      </c>
      <c r="K15" s="10" t="inlineStr">
        <is>
          <t>Nghiệp vụ – Chuyên môn lâm sàng</t>
        </is>
      </c>
      <c r="L15" s="10" t="inlineStr">
        <is>
          <t>Khoa lâm sàng</t>
        </is>
      </c>
      <c r="M15" s="10" t="inlineStr">
        <is>
          <t>Phòng KHTH; CNTT</t>
        </is>
      </c>
      <c r="N15" s="10" t="inlineStr">
        <is>
          <t>Rà soát quy trình chỉ định – thực hiện; không gán giờ/người đồng loạt</t>
        </is>
      </c>
      <c r="O15" s="10" t="inlineStr">
        <is>
          <t>#35</t>
        </is>
      </c>
      <c r="P15" s="17" t="n">
        <v>8776</v>
      </c>
    </row>
    <row r="16">
      <c r="A16" s="10" t="n">
        <v>12</v>
      </c>
      <c r="B16" s="10" t="inlineStr">
        <is>
          <t>XML3_EXECUTION_TIME_UNDER_3MIN</t>
        </is>
      </c>
      <c r="C16" s="10" t="inlineStr">
        <is>
          <t>XML3</t>
        </is>
      </c>
      <c r="D16" s="10" t="inlineStr">
        <is>
          <t>Thời gian thực hiện nhỏ hơn quy định</t>
        </is>
      </c>
      <c r="E16" s="10" t="inlineStr">
        <is>
          <t>Không</t>
        </is>
      </c>
      <c r="F16" s="10" t="inlineStr">
        <is>
          <t>Có</t>
        </is>
      </c>
      <c r="G16" s="12" t="n">
        <v>10212</v>
      </c>
      <c r="H16" s="14">
        <f>G16/68213</f>
        <v/>
      </c>
      <c r="I16" s="10" t="inlineStr">
        <is>
          <t>Nhóm 3: thực hiện 2 phút (&lt; 3). Dịch vụ: Đo đa ký hô hấp</t>
        </is>
      </c>
      <c r="J16" s="10" t="inlineStr">
        <is>
          <t>Kỹ thuật</t>
        </is>
      </c>
      <c r="K16" s="10" t="inlineStr">
        <is>
          <t>Kỹ thuật – HIS</t>
        </is>
      </c>
      <c r="L16" s="10" t="inlineStr">
        <is>
          <t>CNTT</t>
        </is>
      </c>
      <c r="M16" s="10" t="inlineStr">
        <is>
          <t>Khoa lâm sàng; Khoa thăm dò chức năng</t>
        </is>
      </c>
      <c r="N16" s="10" t="inlineStr">
        <is>
          <t>Giờ bắt đầu/kết thúc phải là giờ thực hiện thật, không lấy giờ bấm trả kết quả (Điện tim, Đường máu mao mạch tại giường…)</t>
        </is>
      </c>
      <c r="O16" s="10" t="inlineStr">
        <is>
          <t>#33</t>
        </is>
      </c>
      <c r="P16" s="17" t="n">
        <v>13944</v>
      </c>
    </row>
    <row r="17">
      <c r="A17" s="10" t="n">
        <v>13</v>
      </c>
      <c r="B17" s="10" t="inlineStr">
        <is>
          <t>XML2_INVALID_DANG_BAO_CHE</t>
        </is>
      </c>
      <c r="C17" s="10" t="inlineStr">
        <is>
          <t>XML2</t>
        </is>
      </c>
      <c r="D17" s="10" t="inlineStr">
        <is>
          <t>Dạng bào chế không khớp danh mục</t>
        </is>
      </c>
      <c r="E17" s="10" t="inlineStr">
        <is>
          <t>Không</t>
        </is>
      </c>
      <c r="F17" s="10" t="inlineStr">
        <is>
          <t>Có</t>
        </is>
      </c>
      <c r="G17" s="12" t="n">
        <v>10016</v>
      </c>
      <c r="H17" s="14">
        <f>G17/68213</f>
        <v/>
      </c>
      <c r="I17" s="10" t="inlineStr">
        <is>
          <t>Mã thuốc: 40.980; Dạng bào chế không khớp danh mục: "Hỗn dịch xịt qua bình định kiều điều áp" # danh mục: "Hỗn dịch xịt qua bình định liều điều áp"</t>
        </is>
      </c>
      <c r="J17" s="10" t="inlineStr">
        <is>
          <t>Nghiệp vụ</t>
        </is>
      </c>
      <c r="K17" s="10" t="inlineStr">
        <is>
          <t>Nghiệp vụ – Danh mục</t>
        </is>
      </c>
      <c r="L17" s="10" t="inlineStr">
        <is>
          <t>Khoa Dược</t>
        </is>
      </c>
      <c r="M17" s="10" t="inlineStr">
        <is>
          <t>Phòng BHYT; CNTT</t>
        </is>
      </c>
      <c r="N17" s="10" t="inlineStr">
        <is>
          <t>Khoa Dược đối chiếu danh mục thuốc trên HIS với danh mục được duyệt (mã, tên, hàm lượng, SĐK, thầu, đường dùng, dạng bào chế, ĐVT, giá)</t>
        </is>
      </c>
      <c r="O17" s="10" t="n"/>
      <c r="P17" s="17" t="n">
        <v>7861</v>
      </c>
    </row>
    <row r="18">
      <c r="A18" s="10" t="n">
        <v>14</v>
      </c>
      <c r="B18" s="10" t="inlineStr">
        <is>
          <t>XML3_OVERLAPPING_BED_USAGE</t>
        </is>
      </c>
      <c r="C18" s="10" t="inlineStr">
        <is>
          <t>XML3</t>
        </is>
      </c>
      <c r="D18" s="10" t="inlineStr">
        <is>
          <t>Giường sử dụng trùng lặp</t>
        </is>
      </c>
      <c r="E18" s="10" t="inlineStr">
        <is>
          <t>Không</t>
        </is>
      </c>
      <c r="F18" s="10" t="inlineStr">
        <is>
          <t>Có</t>
        </is>
      </c>
      <c r="G18" s="12" t="n">
        <v>9512</v>
      </c>
      <c r="H18" s="14">
        <f>G18/68213</f>
        <v/>
      </c>
      <c r="I18" s="10" t="inlineStr">
        <is>
          <t>Giường T008 tại khoa K14 sử dụng trùng lặp trong khoảng thời gian từ 09/10/2026 20:49 đến 10/10/2026 20:49. Trùng lặp với hồ sơ có mã: 000007379048 (NGAY_TH_YL: 10/10/2026 11:00, NGAY_KQ: 10/10/2026 1</t>
        </is>
      </c>
      <c r="J18" s="10" t="inlineStr">
        <is>
          <t>Nghiệp vụ</t>
        </is>
      </c>
      <c r="K18" s="10" t="inlineStr">
        <is>
          <t>Nghiệp vụ – Quy định BHYT</t>
        </is>
      </c>
      <c r="L18" s="10" t="inlineStr">
        <is>
          <t>Phòng BHYT</t>
        </is>
      </c>
      <c r="M18" s="10" t="inlineStr">
        <is>
          <t>Khoa lâm sàng; CNTT</t>
        </is>
      </c>
      <c r="N18" s="10" t="inlineStr">
        <is>
          <t>Rà soát chỉ định ngày giường, công khám, khoa chỉ định đúng quy định BHYT</t>
        </is>
      </c>
      <c r="O18" s="10" t="n"/>
      <c r="P18" s="17" t="n">
        <v>5861</v>
      </c>
    </row>
    <row r="19">
      <c r="A19" s="10" t="n">
        <v>15</v>
      </c>
      <c r="B19" s="10" t="inlineStr">
        <is>
          <t>XML8_TOMTAT_KQ_TOO_SHORT</t>
        </is>
      </c>
      <c r="C19" s="10" t="inlineStr">
        <is>
          <t>XML8</t>
        </is>
      </c>
      <c r="D19" s="10" t="inlineStr">
        <is>
          <t>Tóm tắt kết quả quá ngắn</t>
        </is>
      </c>
      <c r="E19" s="10" t="inlineStr">
        <is>
          <t>Không</t>
        </is>
      </c>
      <c r="F19" s="10" t="inlineStr">
        <is>
          <t>Có</t>
        </is>
      </c>
      <c r="G19" s="12" t="n">
        <v>9054</v>
      </c>
      <c r="H19" s="14">
        <f>G19/68213</f>
        <v/>
      </c>
      <c r="I19" s="10" t="inlineStr">
        <is>
          <t>Tóm tắt kết quả chỉ 9 ký tự (&lt; 20): "xem hs BA"</t>
        </is>
      </c>
      <c r="J19" s="10" t="inlineStr">
        <is>
          <t>Nghiệp vụ</t>
        </is>
      </c>
      <c r="K19" s="10" t="inlineStr">
        <is>
          <t>Nghiệp vụ – Chuyên môn lâm sàng</t>
        </is>
      </c>
      <c r="L19" s="10" t="inlineStr">
        <is>
          <t>Khoa lâm sàng</t>
        </is>
      </c>
      <c r="M19" s="10" t="inlineStr">
        <is>
          <t>Phòng KHTH</t>
        </is>
      </c>
      <c r="N19" s="10" t="inlineStr">
        <is>
          <t>Bác sĩ nhập đủ, đúng nội dung chuyên môn trên HIS; Phòng KHTH kiểm tra</t>
        </is>
      </c>
      <c r="O19" s="10" t="inlineStr">
        <is>
          <t>#47</t>
        </is>
      </c>
      <c r="P19" s="17" t="n">
        <v>7918</v>
      </c>
    </row>
    <row r="20">
      <c r="A20" s="10" t="n">
        <v>16</v>
      </c>
      <c r="B20" s="10" t="inlineStr">
        <is>
          <t>XML4_XN_MISSING_VALUE_RESULT</t>
        </is>
      </c>
      <c r="C20" s="10" t="inlineStr">
        <is>
          <t>XML4</t>
        </is>
      </c>
      <c r="D20" s="10" t="inlineStr">
        <is>
          <t>Xét nghiệm không nhập giá trị và kết quả</t>
        </is>
      </c>
      <c r="E20" s="10" t="inlineStr">
        <is>
          <t>Có</t>
        </is>
      </c>
      <c r="F20" s="10" t="inlineStr">
        <is>
          <t>Có</t>
        </is>
      </c>
      <c r="G20" s="12" t="n">
        <v>5851</v>
      </c>
      <c r="H20" s="14">
        <f>G20/68213</f>
        <v/>
      </c>
      <c r="I20" s="10" t="inlineStr">
        <is>
          <t>Chỉ số Đo độ ngưng tập tiểu cầu với Ristocetin trong huyết tương giàu tiểu cầu không có giá trị/mô tả/kết luận. Dịch vụ: 22.0042.1288</t>
        </is>
      </c>
      <c r="J20" s="10" t="inlineStr">
        <is>
          <t>Kỹ thuật</t>
        </is>
      </c>
      <c r="K20" s="10" t="inlineStr">
        <is>
          <t>Kỹ thuật – Tích hợp HIS–LIS</t>
        </is>
      </c>
      <c r="L20" s="10" t="inlineStr">
        <is>
          <t>CNTT</t>
        </is>
      </c>
      <c r="M20" s="10" t="inlineStr">
        <is>
          <t>Hãng LIS (Mitalab); Khoa Xét nghiệm</t>
        </is>
      </c>
      <c r="N20" s="10" t="inlineStr">
        <is>
          <t>LIS trả đủ giá trị/kết luận theo chỉ số; kết quả dạng chữ (vi sinh) đưa vào KET_LUAN/MO_TA</t>
        </is>
      </c>
      <c r="O20" s="10" t="n"/>
      <c r="P20" s="17" t="n">
        <v>5006</v>
      </c>
    </row>
    <row r="21">
      <c r="A21" s="10" t="n">
        <v>17</v>
      </c>
      <c r="B21" s="10" t="inlineStr">
        <is>
          <t>XML2_LIEU_DUNG_UNIT_INVALID</t>
        </is>
      </c>
      <c r="C21" s="10" t="inlineStr">
        <is>
          <t>XML2</t>
        </is>
      </c>
      <c r="D21" s="10" t="inlineStr">
        <is>
          <t>Đơn vị trong liều dùng khác đơn vị tính của thuốc</t>
        </is>
      </c>
      <c r="E21" s="10" t="inlineStr">
        <is>
          <t>Không</t>
        </is>
      </c>
      <c r="F21" s="10" t="inlineStr">
        <is>
          <t>Có</t>
        </is>
      </c>
      <c r="G21" s="12" t="n">
        <v>5821</v>
      </c>
      <c r="H21" s="14">
        <f>G21/68213</f>
        <v/>
      </c>
      <c r="I21" s="10" t="inlineStr">
        <is>
          <t>Đơn vị trong liều dùng (Ống) khác đơn vị tính của thuốc (Đơn vị)</t>
        </is>
      </c>
      <c r="J21" s="10" t="inlineStr">
        <is>
          <t>Kỹ thuật</t>
        </is>
      </c>
      <c r="K21" s="10" t="inlineStr">
        <is>
          <t>Kỹ thuật – HIS</t>
        </is>
      </c>
      <c r="L21" s="10" t="inlineStr">
        <is>
          <t>CNTT</t>
        </is>
      </c>
      <c r="M21" s="10" t="inlineStr">
        <is>
          <t>Phòng KHTH; Khoa Dược</t>
        </is>
      </c>
      <c r="N21" s="10" t="inlineStr">
        <is>
          <t>Sửa ánh xạ/định dạng dữ liệu khi HIS xuất XML; bắt buộc nhập trường còn thiếu</t>
        </is>
      </c>
      <c r="O21" s="10" t="n"/>
      <c r="P21" s="17" t="n">
        <v>4355</v>
      </c>
    </row>
    <row r="22">
      <c r="A22" s="10" t="n">
        <v>18</v>
      </c>
      <c r="B22" s="10" t="inlineStr">
        <is>
          <t>XML2_INVALID_DRUG_CONCENTRATION</t>
        </is>
      </c>
      <c r="C22" s="10" t="inlineStr">
        <is>
          <t>XML2</t>
        </is>
      </c>
      <c r="D22" s="10" t="inlineStr">
        <is>
          <t>Mã thuốc sai hàm lượng trong danh mục BHYT</t>
        </is>
      </c>
      <c r="E22" s="10" t="inlineStr">
        <is>
          <t>Không</t>
        </is>
      </c>
      <c r="F22" s="10" t="inlineStr">
        <is>
          <t>Có</t>
        </is>
      </c>
      <c r="G22" s="12" t="n">
        <v>4135</v>
      </c>
      <c r="H22" s="14">
        <f>G22/68213</f>
        <v/>
      </c>
      <c r="I22" s="10" t="inlineStr">
        <is>
          <t>Mã thuốc: 40.980; Sai hàm lượng: 5mg/2,5ml</t>
        </is>
      </c>
      <c r="J22" s="10" t="inlineStr">
        <is>
          <t>Nghiệp vụ</t>
        </is>
      </c>
      <c r="K22" s="10" t="inlineStr">
        <is>
          <t>Nghiệp vụ – Danh mục</t>
        </is>
      </c>
      <c r="L22" s="10" t="inlineStr">
        <is>
          <t>Khoa Dược</t>
        </is>
      </c>
      <c r="M22" s="10" t="inlineStr">
        <is>
          <t>Phòng BHYT; CNTT</t>
        </is>
      </c>
      <c r="N22" s="10" t="inlineStr">
        <is>
          <t>Khoa Dược đối chiếu danh mục thuốc trên HIS với danh mục được duyệt (mã, tên, hàm lượng, SĐK, thầu, đường dùng, dạng bào chế, ĐVT, giá)</t>
        </is>
      </c>
      <c r="O22" s="10" t="n"/>
      <c r="P22" s="17" t="n">
        <v>1153</v>
      </c>
    </row>
    <row r="23">
      <c r="A23" s="10" t="n">
        <v>19</v>
      </c>
      <c r="B23" s="10" t="inlineStr">
        <is>
          <t>XML4_INFO_ERROR_NGAY_KQ</t>
        </is>
      </c>
      <c r="C23" s="10" t="inlineStr">
        <is>
          <t>XML4</t>
        </is>
      </c>
      <c r="D23" s="10" t="inlineStr">
        <is>
          <t>Thiếu ngày trả kết quả</t>
        </is>
      </c>
      <c r="E23" s="10" t="inlineStr">
        <is>
          <t>Có</t>
        </is>
      </c>
      <c r="F23" s="10" t="inlineStr">
        <is>
          <t>Có</t>
        </is>
      </c>
      <c r="G23" s="12" t="n">
        <v>3362</v>
      </c>
      <c r="H23" s="14">
        <f>G23/68213</f>
        <v/>
      </c>
      <c r="I23" s="10" t="inlineStr">
        <is>
          <t>Ngày trả kết quả không được để trống</t>
        </is>
      </c>
      <c r="J23" s="10" t="inlineStr">
        <is>
          <t>Kỹ thuật</t>
        </is>
      </c>
      <c r="K23" s="10" t="inlineStr">
        <is>
          <t>Kỹ thuật – Tích hợp HIS–PACS/LIS</t>
        </is>
      </c>
      <c r="L23" s="10" t="inlineStr">
        <is>
          <t>CNTT</t>
        </is>
      </c>
      <c r="M23" s="10" t="inlineStr">
        <is>
          <t>Hãng PACS; Hãng LIS; Khoa CĐHA; Khoa Xét nghiệm</t>
        </is>
      </c>
      <c r="N23" s="10" t="inlineStr">
        <is>
          <t>Bắt buộc ký số/duyệt kết quả trên PACS/LIS trước khi đẩy về HIS</t>
        </is>
      </c>
      <c r="O23" s="10" t="inlineStr">
        <is>
          <t>#38</t>
        </is>
      </c>
      <c r="P23" s="17" t="n">
        <v>2984</v>
      </c>
    </row>
    <row r="24">
      <c r="A24" s="10" t="n">
        <v>20</v>
      </c>
      <c r="B24" s="10" t="inlineStr">
        <is>
          <t>XML1_WARNING_MA_BENH_CHINH</t>
        </is>
      </c>
      <c r="C24" s="10" t="inlineStr">
        <is>
          <t>XML1</t>
        </is>
      </c>
      <c r="D24" s="10" t="inlineStr">
        <is>
          <t>Mã bệnh chính thuộc nhóm bệnh cảnh báo</t>
        </is>
      </c>
      <c r="E24" s="10" t="inlineStr">
        <is>
          <t>Có</t>
        </is>
      </c>
      <c r="F24" s="10" t="inlineStr">
        <is>
          <t>Có</t>
        </is>
      </c>
      <c r="G24" s="12" t="n">
        <v>3007</v>
      </c>
      <c r="H24" s="14">
        <f>G24/68213</f>
        <v/>
      </c>
      <c r="I24" s="10" t="inlineStr">
        <is>
          <t>Mã bệnh chính: Z00.4 thuộc nhóm cảnh báo (Z00)</t>
        </is>
      </c>
      <c r="J24" s="10" t="inlineStr">
        <is>
          <t>Nghiệp vụ</t>
        </is>
      </c>
      <c r="K24" s="10" t="inlineStr">
        <is>
          <t>Nghiệp vụ – Chuyên môn lâm sàng</t>
        </is>
      </c>
      <c r="L24" s="10" t="inlineStr">
        <is>
          <t>Khoa lâm sàng</t>
        </is>
      </c>
      <c r="M24" s="10" t="inlineStr">
        <is>
          <t>Phòng KHTH</t>
        </is>
      </c>
      <c r="N24" s="10" t="inlineStr">
        <is>
          <t>Bác sĩ nhập đủ, đúng nội dung chuyên môn trên HIS; Phòng KHTH kiểm tra</t>
        </is>
      </c>
      <c r="O24" s="10" t="inlineStr">
        <is>
          <t>#14</t>
        </is>
      </c>
      <c r="P24" s="17" t="n">
        <v>2829</v>
      </c>
    </row>
    <row r="25">
      <c r="A25" s="10" t="n">
        <v>21</v>
      </c>
      <c r="B25" s="10" t="inlineStr">
        <is>
          <t>XML2_INVALID_DUONG_DUNG</t>
        </is>
      </c>
      <c r="C25" s="10" t="inlineStr">
        <is>
          <t>XML2</t>
        </is>
      </c>
      <c r="D25" s="10" t="inlineStr">
        <is>
          <t>Đường dùng không khớp danh mục</t>
        </is>
      </c>
      <c r="E25" s="10" t="inlineStr">
        <is>
          <t>Không</t>
        </is>
      </c>
      <c r="F25" s="10" t="inlineStr">
        <is>
          <t>Có</t>
        </is>
      </c>
      <c r="G25" s="12" t="n">
        <v>2929</v>
      </c>
      <c r="H25" s="14">
        <f>G25/68213</f>
        <v/>
      </c>
      <c r="I25" s="10" t="inlineStr">
        <is>
          <t>Mã thuốc: 40.883; Đường dùng không khớp danh mục: "6.01" # danh mục: "Dùng ngoài / 3.05"</t>
        </is>
      </c>
      <c r="J25" s="10" t="inlineStr">
        <is>
          <t>Nghiệp vụ</t>
        </is>
      </c>
      <c r="K25" s="10" t="inlineStr">
        <is>
          <t>Nghiệp vụ – Danh mục</t>
        </is>
      </c>
      <c r="L25" s="10" t="inlineStr">
        <is>
          <t>Khoa Dược</t>
        </is>
      </c>
      <c r="M25" s="10" t="inlineStr">
        <is>
          <t>Phòng BHYT; CNTT</t>
        </is>
      </c>
      <c r="N25" s="10" t="inlineStr">
        <is>
          <t>Khoa Dược đối chiếu danh mục thuốc trên HIS với danh mục được duyệt (mã, tên, hàm lượng, SĐK, thầu, đường dùng, dạng bào chế, ĐVT, giá)</t>
        </is>
      </c>
      <c r="O25" s="10" t="n"/>
      <c r="P25" s="17" t="n">
        <v>2511</v>
      </c>
    </row>
    <row r="26">
      <c r="A26" s="10" t="n">
        <v>22</v>
      </c>
      <c r="B26" s="10" t="inlineStr">
        <is>
          <t>XML2_INVALID_DRUG_NAME</t>
        </is>
      </c>
      <c r="C26" s="10" t="inlineStr">
        <is>
          <t>XML2</t>
        </is>
      </c>
      <c r="D26" s="10" t="inlineStr">
        <is>
          <t>Mã thuốc sai tên trong danh mục BHYT</t>
        </is>
      </c>
      <c r="E26" s="10" t="inlineStr">
        <is>
          <t>Không</t>
        </is>
      </c>
      <c r="F26" s="10" t="inlineStr">
        <is>
          <t>Có</t>
        </is>
      </c>
      <c r="G26" s="12" t="n">
        <v>2614</v>
      </c>
      <c r="H26" s="14">
        <f>G26/68213</f>
        <v/>
      </c>
      <c r="I26" s="10" t="inlineStr">
        <is>
          <t>Mã thuốc: 40.974; Thuốc sai tên so với danh mục được duyệt: Symbicort Turbuhaler # Symbicort Turbuhaler 60 Dose 160/4.5</t>
        </is>
      </c>
      <c r="J26" s="10" t="inlineStr">
        <is>
          <t>Nghiệp vụ</t>
        </is>
      </c>
      <c r="K26" s="10" t="inlineStr">
        <is>
          <t>Nghiệp vụ – Danh mục</t>
        </is>
      </c>
      <c r="L26" s="10" t="inlineStr">
        <is>
          <t>Khoa Dược</t>
        </is>
      </c>
      <c r="M26" s="10" t="inlineStr">
        <is>
          <t>Phòng BHYT; CNTT</t>
        </is>
      </c>
      <c r="N26" s="10" t="inlineStr">
        <is>
          <t>Khoa Dược đối chiếu danh mục thuốc trên HIS với danh mục được duyệt (mã, tên, hàm lượng, SĐK, thầu, đường dùng, dạng bào chế, ĐVT, giá)</t>
        </is>
      </c>
      <c r="O26" s="10" t="n"/>
      <c r="P26" s="17" t="n">
        <v>2282</v>
      </c>
    </row>
    <row r="27">
      <c r="A27" s="10" t="n">
        <v>23</v>
      </c>
      <c r="B27" s="10" t="inlineStr">
        <is>
          <t>XML1_WARNING_MA_BENH_KT</t>
        </is>
      </c>
      <c r="C27" s="10" t="inlineStr">
        <is>
          <t>XML1</t>
        </is>
      </c>
      <c r="D27" s="10" t="inlineStr">
        <is>
          <t>Mã bệnh kèm theo thuộc nhóm bệnh cảnh báo</t>
        </is>
      </c>
      <c r="E27" s="10" t="inlineStr">
        <is>
          <t>Có</t>
        </is>
      </c>
      <c r="F27" s="10" t="inlineStr">
        <is>
          <t>Có</t>
        </is>
      </c>
      <c r="G27" s="12" t="n">
        <v>2500</v>
      </c>
      <c r="H27" s="14">
        <f>G27/68213</f>
        <v/>
      </c>
      <c r="I27" s="10" t="inlineStr">
        <is>
          <t>Mã bệnh kèm theo thuộc nhóm cảnh báo: Z00.4 (Z00)</t>
        </is>
      </c>
      <c r="J27" s="10" t="inlineStr">
        <is>
          <t>Nghiệp vụ</t>
        </is>
      </c>
      <c r="K27" s="10" t="inlineStr">
        <is>
          <t>Nghiệp vụ – Chuyên môn lâm sàng</t>
        </is>
      </c>
      <c r="L27" s="10" t="inlineStr">
        <is>
          <t>Khoa lâm sàng</t>
        </is>
      </c>
      <c r="M27" s="10" t="inlineStr">
        <is>
          <t>Phòng KHTH</t>
        </is>
      </c>
      <c r="N27" s="10" t="inlineStr">
        <is>
          <t>Bác sĩ nhập đủ, đúng nội dung chuyên môn trên HIS; Phòng KHTH kiểm tra</t>
        </is>
      </c>
      <c r="O27" s="10" t="inlineStr">
        <is>
          <t>#14</t>
        </is>
      </c>
      <c r="P27" s="17" t="n">
        <v>2332</v>
      </c>
    </row>
    <row r="28">
      <c r="A28" s="10" t="n">
        <v>24</v>
      </c>
      <c r="B28" s="10" t="inlineStr">
        <is>
          <t>XML4_INFO_ERROR_MO_TA_EMPTY</t>
        </is>
      </c>
      <c r="C28" s="10" t="inlineStr">
        <is>
          <t>XML4</t>
        </is>
      </c>
      <c r="D28" s="10" t="inlineStr">
        <is>
          <t>Mô tả không được để trống</t>
        </is>
      </c>
      <c r="E28" s="10" t="inlineStr">
        <is>
          <t>Không</t>
        </is>
      </c>
      <c r="F28" s="10" t="inlineStr">
        <is>
          <t>Có</t>
        </is>
      </c>
      <c r="G28" s="12" t="n">
        <v>2498</v>
      </c>
      <c r="H28" s="14">
        <f>G28/68213</f>
        <v/>
      </c>
      <c r="I28" s="10" t="inlineStr">
        <is>
          <t>Mô tả không được để trống đối với DVKT: 19.0222.0050.K.01916</t>
        </is>
      </c>
      <c r="J28" s="10" t="inlineStr">
        <is>
          <t>Kỹ thuật</t>
        </is>
      </c>
      <c r="K28" s="10" t="inlineStr">
        <is>
          <t>Kỹ thuật – Tích hợp HIS–PACS</t>
        </is>
      </c>
      <c r="L28" s="10" t="inlineStr">
        <is>
          <t>CNTT</t>
        </is>
      </c>
      <c r="M28" s="10" t="inlineStr">
        <is>
          <t>Hãng PACS; Khoa CĐHA; Khoa Y học hạt nhân</t>
        </is>
      </c>
      <c r="N28" s="10" t="inlineStr">
        <is>
          <t>PACS/RIS trả đủ mô tả và kết luận; khoa CĐHA không duyệt kết quả trống</t>
        </is>
      </c>
      <c r="O28" s="10" t="n"/>
      <c r="P28" s="17" t="n">
        <v>2164</v>
      </c>
    </row>
    <row r="29">
      <c r="A29" s="10" t="n">
        <v>25</v>
      </c>
      <c r="B29" s="10" t="inlineStr">
        <is>
          <t>XML3_SERVICE_GROUP_PTTT_DUPLICATE</t>
        </is>
      </c>
      <c r="C29" s="10" t="inlineStr">
        <is>
          <t>XML3</t>
        </is>
      </c>
      <c r="D29" s="10" t="inlineStr">
        <is>
          <t>PTTT trùng y lệnh</t>
        </is>
      </c>
      <c r="E29" s="10" t="inlineStr">
        <is>
          <t>Không</t>
        </is>
      </c>
      <c r="F29" s="10" t="inlineStr">
        <is>
          <t>Có</t>
        </is>
      </c>
      <c r="G29" s="12" t="n">
        <v>2291</v>
      </c>
      <c r="H29" s="14">
        <f>G29/68213</f>
        <v/>
      </c>
      <c r="I29" s="10" t="inlineStr">
        <is>
          <t>- Mã điều trị=000007450973; stt=9; Bác sĩ=047397/BYT-CCHN; Ngày yl=13/10/2026 16:56; Ngày th=13/10/2026 16:56; Ngày kq=13/10/2026 17:00</t>
        </is>
      </c>
      <c r="J29" s="10" t="inlineStr">
        <is>
          <t>Nghiệp vụ</t>
        </is>
      </c>
      <c r="K29" s="10" t="inlineStr">
        <is>
          <t>Nghiệp vụ – Chuyên môn lâm sàng</t>
        </is>
      </c>
      <c r="L29" s="10" t="inlineStr">
        <is>
          <t>Khoa lâm sàng</t>
        </is>
      </c>
      <c r="M29" s="10" t="inlineStr">
        <is>
          <t>Phòng KHTH; CNTT</t>
        </is>
      </c>
      <c r="N29" s="10" t="inlineStr">
        <is>
          <t>Rà soát quy trình chỉ định – thực hiện; không gán giờ/người đồng loạt</t>
        </is>
      </c>
      <c r="O29" s="10" t="n"/>
      <c r="P29" s="17" t="n">
        <v>1914</v>
      </c>
    </row>
    <row r="30">
      <c r="A30" s="10" t="n">
        <v>26</v>
      </c>
      <c r="B30" s="10" t="inlineStr">
        <is>
          <t>XML3_INVALID_NGAY_KQ</t>
        </is>
      </c>
      <c r="C30" s="10" t="inlineStr">
        <is>
          <t>XML3</t>
        </is>
      </c>
      <c r="D30" s="10" t="inlineStr">
        <is>
          <t>Ngày trả kết quả không hợp lệ</t>
        </is>
      </c>
      <c r="E30" s="10" t="inlineStr">
        <is>
          <t>Không</t>
        </is>
      </c>
      <c r="F30" s="10" t="inlineStr">
        <is>
          <t>Có</t>
        </is>
      </c>
      <c r="G30" s="12" t="n">
        <v>2270</v>
      </c>
      <c r="H30" s="14">
        <f>G30/68213</f>
        <v/>
      </c>
      <c r="I30" s="10" t="inlineStr">
        <is>
          <t>Ngày trả kết quả (NGAY_KQ) không nằm trong khoảng thời gian vào (31/08/2026 08:54) và ra (08/09/2026 15:50)</t>
        </is>
      </c>
      <c r="J30" s="10" t="inlineStr">
        <is>
          <t>Kỹ thuật</t>
        </is>
      </c>
      <c r="K30" s="10" t="inlineStr">
        <is>
          <t>Kỹ thuật – Tích hợp HIS–PACS/LIS</t>
        </is>
      </c>
      <c r="L30" s="10" t="inlineStr">
        <is>
          <t>CNTT</t>
        </is>
      </c>
      <c r="M30" s="10" t="inlineStr">
        <is>
          <t>Khoa CĐHA; Khoa Xét nghiệm</t>
        </is>
      </c>
      <c r="N30" s="10" t="inlineStr">
        <is>
          <t>Thống nhất một nguồn thời gian trả kết quả giữa PACS/LIS và HIS; rà ca trả kết quả sau ra viện</t>
        </is>
      </c>
      <c r="O30" s="10" t="inlineStr">
        <is>
          <t>#32</t>
        </is>
      </c>
      <c r="P30" s="17" t="n">
        <v>2029</v>
      </c>
    </row>
    <row r="31">
      <c r="A31" s="10" t="n">
        <v>27</v>
      </c>
      <c r="B31" s="10" t="inlineStr">
        <is>
          <t>XML3_OVERLAPPING_SERVICE_EXECUTION</t>
        </is>
      </c>
      <c r="C31" s="10" t="inlineStr">
        <is>
          <t>XML3</t>
        </is>
      </c>
      <c r="D31" s="10" t="inlineStr">
        <is>
          <t>Thời gian thực hiện trùng với dịch vụ khác</t>
        </is>
      </c>
      <c r="E31" s="10" t="inlineStr">
        <is>
          <t>Không</t>
        </is>
      </c>
      <c r="F31" s="10" t="inlineStr">
        <is>
          <t>Có</t>
        </is>
      </c>
      <c r="G31" s="12" t="n">
        <v>2083</v>
      </c>
      <c r="H31" s="14">
        <f>G31/68213</f>
        <v/>
      </c>
      <c r="I31" s="10" t="inlineStr">
        <is>
          <t>Dịch vụ 28.0110.0584 (20/09/2026 00:11 - 20/09/2026 00:31) chồng thời gian thực hiện với dịch vụ 15.0301.0218 (20/09/2026 00:11 - 20/09/2026 00:31) trong cùng hồ sơ.</t>
        </is>
      </c>
      <c r="J31" s="10" t="inlineStr">
        <is>
          <t>Nghiệp vụ</t>
        </is>
      </c>
      <c r="K31" s="10" t="inlineStr">
        <is>
          <t>Nghiệp vụ – Chuyên môn lâm sàng</t>
        </is>
      </c>
      <c r="L31" s="10" t="inlineStr">
        <is>
          <t>Khoa lâm sàng</t>
        </is>
      </c>
      <c r="M31" s="10" t="inlineStr">
        <is>
          <t>Phòng KHTH; CNTT</t>
        </is>
      </c>
      <c r="N31" s="10" t="inlineStr">
        <is>
          <t>Rà soát quy trình chỉ định – thực hiện; không gán giờ/người đồng loạt</t>
        </is>
      </c>
      <c r="O31" s="10" t="n"/>
      <c r="P31" s="17" t="n">
        <v>1812</v>
      </c>
    </row>
    <row r="32">
      <c r="A32" s="10" t="n">
        <v>28</v>
      </c>
      <c r="B32" s="10" t="inlineStr">
        <is>
          <t>XML4_INFO_ERROR_GIA_TRI_LENGTH</t>
        </is>
      </c>
      <c r="C32" s="10" t="inlineStr">
        <is>
          <t>XML4</t>
        </is>
      </c>
      <c r="D32" s="10" t="inlineStr">
        <is>
          <t>Giá trị quá dài</t>
        </is>
      </c>
      <c r="E32" s="10" t="inlineStr">
        <is>
          <t>Có</t>
        </is>
      </c>
      <c r="F32" s="10" t="inlineStr">
        <is>
          <t>Có</t>
        </is>
      </c>
      <c r="G32" s="12" t="n">
        <v>2052</v>
      </c>
      <c r="H32" s="14">
        <f>G32/68213</f>
        <v/>
      </c>
      <c r="I32" s="10" t="inlineStr">
        <is>
          <t>Giá trị không được lớn hơn 50 kí tự: Vi khuẩn:Cầu trực khuẩn Gram (-) 1(+) Bạch cầu đa nhân: ( ++)</t>
        </is>
      </c>
      <c r="J32" s="10" t="inlineStr">
        <is>
          <t>Kỹ thuật</t>
        </is>
      </c>
      <c r="K32" s="10" t="inlineStr">
        <is>
          <t>Kỹ thuật – Tích hợp HIS–LIS</t>
        </is>
      </c>
      <c r="L32" s="10" t="inlineStr">
        <is>
          <t>CNTT</t>
        </is>
      </c>
      <c r="M32" s="10" t="inlineStr">
        <is>
          <t>Hãng LIS (Mitalab); Khoa Xét nghiệm</t>
        </is>
      </c>
      <c r="N32" s="10" t="inlineStr">
        <is>
          <t>LIS trả đủ giá trị/kết luận theo chỉ số; kết quả dạng chữ (vi sinh) đưa vào KET_LUAN/MO_TA</t>
        </is>
      </c>
      <c r="O32" s="10" t="inlineStr">
        <is>
          <t>#37</t>
        </is>
      </c>
      <c r="P32" s="17" t="n">
        <v>1852</v>
      </c>
    </row>
    <row r="33">
      <c r="A33" s="10" t="n">
        <v>29</v>
      </c>
      <c r="B33" s="10" t="inlineStr">
        <is>
          <t>XML5_DIEN_BIEN_DUPLICATE</t>
        </is>
      </c>
      <c r="C33" s="10" t="inlineStr">
        <is>
          <t>XML5</t>
        </is>
      </c>
      <c r="D33" s="10" t="inlineStr">
        <is>
          <t>Diễn biến điều trị trùng nhau</t>
        </is>
      </c>
      <c r="E33" s="10" t="inlineStr">
        <is>
          <t>Không</t>
        </is>
      </c>
      <c r="F33" s="10" t="inlineStr">
        <is>
          <t>Có</t>
        </is>
      </c>
      <c r="G33" s="12" t="n">
        <v>1950</v>
      </c>
      <c r="H33" s="14">
        <f>G33/68213</f>
        <v/>
      </c>
      <c r="I33" s="10" t="inlineStr">
        <is>
          <t>Diễn biến lâm sàng trùng với dòng STT 9: "Diễn biến: Y lệnh thuốc; Theo dõi - chăm sóc: Chăm sóc cấp 2 Chế độ ăn BT05  Theo dõi toàn trạng, mạ"</t>
        </is>
      </c>
      <c r="J33" s="10" t="inlineStr">
        <is>
          <t>Nghiệp vụ</t>
        </is>
      </c>
      <c r="K33" s="10" t="inlineStr">
        <is>
          <t>Nghiệp vụ – Chuyên môn lâm sàng</t>
        </is>
      </c>
      <c r="L33" s="10" t="inlineStr">
        <is>
          <t>Khoa lâm sàng</t>
        </is>
      </c>
      <c r="M33" s="10" t="inlineStr">
        <is>
          <t>Phòng KHTH</t>
        </is>
      </c>
      <c r="N33" s="10" t="inlineStr">
        <is>
          <t>Bác sĩ nhập đủ, đúng nội dung chuyên môn trên HIS; Phòng KHTH kiểm tra</t>
        </is>
      </c>
      <c r="O33" s="10" t="n"/>
      <c r="P33" s="17" t="n">
        <v>1699</v>
      </c>
    </row>
    <row r="34">
      <c r="A34" s="10" t="n">
        <v>30</v>
      </c>
      <c r="B34" s="10" t="inlineStr">
        <is>
          <t>XML2_PRICE_EXCEEDS_APPROVED</t>
        </is>
      </c>
      <c r="C34" s="10" t="inlineStr">
        <is>
          <t>XML2</t>
        </is>
      </c>
      <c r="D34" s="10" t="inlineStr">
        <is>
          <t>Giá thuốc cao hơn giá được duyệt</t>
        </is>
      </c>
      <c r="E34" s="10" t="inlineStr">
        <is>
          <t>Không</t>
        </is>
      </c>
      <c r="F34" s="10" t="inlineStr">
        <is>
          <t>Có</t>
        </is>
      </c>
      <c r="G34" s="12" t="n">
        <v>1913</v>
      </c>
      <c r="H34" s="14">
        <f>G34/68213</f>
        <v/>
      </c>
      <c r="I34" s="10" t="inlineStr">
        <is>
          <t>Mã thuốc: 40.974; Giá cao hơn giá được duyệt: 434000 &gt; 219000.00</t>
        </is>
      </c>
      <c r="J34" s="10" t="inlineStr">
        <is>
          <t>Nghiệp vụ</t>
        </is>
      </c>
      <c r="K34" s="10" t="inlineStr">
        <is>
          <t>Nghiệp vụ – Danh mục</t>
        </is>
      </c>
      <c r="L34" s="10" t="inlineStr">
        <is>
          <t>Khoa Dược</t>
        </is>
      </c>
      <c r="M34" s="10" t="inlineStr">
        <is>
          <t>Phòng BHYT; CNTT</t>
        </is>
      </c>
      <c r="N34" s="10" t="inlineStr">
        <is>
          <t>Khoa Dược đối chiếu danh mục thuốc trên HIS với danh mục được duyệt (mã, tên, hàm lượng, SĐK, thầu, đường dùng, dạng bào chế, ĐVT, giá)</t>
        </is>
      </c>
      <c r="O34" s="10" t="n"/>
      <c r="P34" s="17" t="n">
        <v>1630</v>
      </c>
    </row>
    <row r="35">
      <c r="A35" s="10" t="n">
        <v>31</v>
      </c>
      <c r="B35" s="10" t="inlineStr">
        <is>
          <t>XML3_MISSING_SERVICE_OR_MATERIAL</t>
        </is>
      </c>
      <c r="C35" s="10" t="inlineStr">
        <is>
          <t>XML3</t>
        </is>
      </c>
      <c r="D35" s="10" t="inlineStr">
        <is>
          <t>Mã dịch vụ và Mã vật tư rỗng</t>
        </is>
      </c>
      <c r="E35" s="10" t="inlineStr">
        <is>
          <t>Có</t>
        </is>
      </c>
      <c r="F35" s="10" t="inlineStr">
        <is>
          <t>Có</t>
        </is>
      </c>
      <c r="G35" s="12" t="n">
        <v>1739</v>
      </c>
      <c r="H35" s="14">
        <f>G35/68213</f>
        <v/>
      </c>
      <c r="I35" s="10" t="inlineStr">
        <is>
          <t>MA_DICH_VU và MA_VAT_TU rỗng</t>
        </is>
      </c>
      <c r="J35" s="10" t="inlineStr">
        <is>
          <t>Kỹ thuật</t>
        </is>
      </c>
      <c r="K35" s="10" t="inlineStr">
        <is>
          <t>Kỹ thuật – HIS</t>
        </is>
      </c>
      <c r="L35" s="10" t="inlineStr">
        <is>
          <t>CNTT</t>
        </is>
      </c>
      <c r="M35" s="10" t="inlineStr">
        <is>
          <t>Phòng KHTH; Khoa Dược</t>
        </is>
      </c>
      <c r="N35" s="10" t="inlineStr">
        <is>
          <t>Sửa ánh xạ/định dạng dữ liệu khi HIS xuất XML; bắt buộc nhập trường còn thiếu</t>
        </is>
      </c>
      <c r="O35" s="10" t="n"/>
      <c r="P35" s="17" t="n">
        <v>1630</v>
      </c>
    </row>
    <row r="36">
      <c r="A36" s="10" t="n">
        <v>32</v>
      </c>
      <c r="B36" s="10" t="inlineStr">
        <is>
          <t>XMLComplete_BED_DAYS_SPECIAL_NOT_CLAIMED</t>
        </is>
      </c>
      <c r="C36" s="10" t="inlineStr">
        <is>
          <t>XMLComplete</t>
        </is>
      </c>
      <c r="D36" s="10" t="inlineStr">
        <is>
          <t>Trường hợp đặc biệt được cộng 1 ngày giường nhưng chưa khai</t>
        </is>
      </c>
      <c r="E36" s="10" t="inlineStr">
        <is>
          <t>Không</t>
        </is>
      </c>
      <c r="F36" s="10" t="inlineStr">
        <is>
          <t>Có</t>
        </is>
      </c>
      <c r="G36" s="12" t="n">
        <v>1525</v>
      </c>
      <c r="H36" s="14">
        <f>G36/68213</f>
        <v/>
      </c>
      <c r="I36" s="10" t="inlineStr">
        <is>
          <t>Được cộng 1 ngày giường theo TT39 (loại ra viện 4 - Xin ra viện): được 9, đã khai 8 — chưa khai ngày được cộng thêm.</t>
        </is>
      </c>
      <c r="J36" s="10" t="inlineStr">
        <is>
          <t>Nghiệp vụ</t>
        </is>
      </c>
      <c r="K36" s="10" t="inlineStr">
        <is>
          <t>Nghiệp vụ – Quy định BHYT</t>
        </is>
      </c>
      <c r="L36" s="10" t="inlineStr">
        <is>
          <t>Phòng BHYT</t>
        </is>
      </c>
      <c r="M36" s="10" t="inlineStr">
        <is>
          <t>CNTT; Phòng TCKT</t>
        </is>
      </c>
      <c r="N36" s="10" t="inlineStr">
        <is>
          <t>Sửa cách HIS tính ngày giường theo TT39 / thanh toán PT lần 2 trong ngày</t>
        </is>
      </c>
      <c r="O36" s="10" t="n"/>
      <c r="P36" s="17" t="n">
        <v>1251</v>
      </c>
    </row>
    <row r="37">
      <c r="A37" s="10" t="n">
        <v>33</v>
      </c>
      <c r="B37" s="10" t="inlineStr">
        <is>
          <t>XML3_MA_DICH_VU_TB_CO_DON_GIA</t>
        </is>
      </c>
      <c r="C37" s="10" t="inlineStr">
        <is>
          <t>XML3</t>
        </is>
      </c>
      <c r="D37" s="10" t="inlineStr">
        <is>
          <t>DVKT không thực hiện được nhưng vẫn có đơn giá</t>
        </is>
      </c>
      <c r="E37" s="10" t="inlineStr">
        <is>
          <t>Không</t>
        </is>
      </c>
      <c r="F37" s="10" t="inlineStr">
        <is>
          <t>Có</t>
        </is>
      </c>
      <c r="G37" s="12" t="n">
        <v>1434</v>
      </c>
      <c r="H37" s="14">
        <f>G37/68213</f>
        <v/>
      </c>
      <c r="I37" s="10" t="inlineStr">
        <is>
          <t>Mã _TB có hậu tố _TB (chỉ định nhưng không thực hiện được) nên đơn giá BH và đơn giá BV phải bằng 0. Hiện đơn giá BH: 1,400,000, đơn giá BV: 1,400,000</t>
        </is>
      </c>
      <c r="J37" s="10" t="inlineStr">
        <is>
          <t>Kỹ thuật</t>
        </is>
      </c>
      <c r="K37" s="10" t="inlineStr">
        <is>
          <t>Kỹ thuật – HIS</t>
        </is>
      </c>
      <c r="L37" s="10" t="inlineStr">
        <is>
          <t>CNTT</t>
        </is>
      </c>
      <c r="M37" s="10" t="inlineStr">
        <is>
          <t>Phòng TCKT; Phòng BHYT</t>
        </is>
      </c>
      <c r="N37" s="10" t="inlineStr">
        <is>
          <t>Sửa công thức tính tiền/tỷ lệ/nguồn chi trả trên HIS</t>
        </is>
      </c>
      <c r="O37" s="10" t="n"/>
      <c r="P37" s="17" t="n">
        <v>429</v>
      </c>
    </row>
    <row r="38">
      <c r="A38" s="10" t="n">
        <v>34</v>
      </c>
      <c r="B38" s="10" t="inlineStr">
        <is>
          <t>XML2_INVALID_REGISTRATION_NUMBER</t>
        </is>
      </c>
      <c r="C38" s="10" t="inlineStr">
        <is>
          <t>XML2</t>
        </is>
      </c>
      <c r="D38" s="10" t="inlineStr">
        <is>
          <t>Mã thuốc sai số đăng ký trong danh mục BHYT</t>
        </is>
      </c>
      <c r="E38" s="10" t="inlineStr">
        <is>
          <t>Không</t>
        </is>
      </c>
      <c r="F38" s="10" t="inlineStr">
        <is>
          <t>Có</t>
        </is>
      </c>
      <c r="G38" s="12" t="n">
        <v>1121</v>
      </c>
      <c r="H38" s="14">
        <f>G38/68213</f>
        <v/>
      </c>
      <c r="I38" s="10" t="inlineStr">
        <is>
          <t>Mã thuốc: 40.692; Số ĐK: 300110997524</t>
        </is>
      </c>
      <c r="J38" s="10" t="inlineStr">
        <is>
          <t>Nghiệp vụ</t>
        </is>
      </c>
      <c r="K38" s="10" t="inlineStr">
        <is>
          <t>Nghiệp vụ – Danh mục</t>
        </is>
      </c>
      <c r="L38" s="10" t="inlineStr">
        <is>
          <t>Khoa Dược</t>
        </is>
      </c>
      <c r="M38" s="10" t="inlineStr">
        <is>
          <t>Phòng BHYT; CNTT</t>
        </is>
      </c>
      <c r="N38" s="10" t="inlineStr">
        <is>
          <t>Khoa Dược đối chiếu danh mục thuốc trên HIS với danh mục được duyệt (mã, tên, hàm lượng, SĐK, thầu, đường dùng, dạng bào chế, ĐVT, giá)</t>
        </is>
      </c>
      <c r="O38" s="10" t="n"/>
      <c r="P38" s="17" t="n">
        <v>1003</v>
      </c>
    </row>
    <row r="39">
      <c r="A39" s="10" t="n">
        <v>35</v>
      </c>
      <c r="B39" s="10" t="inlineStr">
        <is>
          <t>XML3_BED_DAY_QUANTITY_ERROR</t>
        </is>
      </c>
      <c r="C39" s="10" t="inlineStr">
        <is>
          <t>XML3</t>
        </is>
      </c>
      <c r="D39" s="10" t="inlineStr">
        <is>
          <t>Chỉ định ngày giường &gt; 1</t>
        </is>
      </c>
      <c r="E39" s="10" t="inlineStr">
        <is>
          <t>Không</t>
        </is>
      </c>
      <c r="F39" s="10" t="inlineStr">
        <is>
          <t>Có</t>
        </is>
      </c>
      <c r="G39" s="12" t="n">
        <v>1077</v>
      </c>
      <c r="H39" s="14">
        <f>G39/68213</f>
        <v/>
      </c>
      <c r="I39" s="10" t="inlineStr">
        <is>
          <t>Số lượng ngày giường &gt; 1. Ngày y lệnh: 31/08/2026 07:58</t>
        </is>
      </c>
      <c r="J39" s="10" t="inlineStr">
        <is>
          <t>Nghiệp vụ</t>
        </is>
      </c>
      <c r="K39" s="10" t="inlineStr">
        <is>
          <t>Nghiệp vụ – Quy định BHYT</t>
        </is>
      </c>
      <c r="L39" s="10" t="inlineStr">
        <is>
          <t>Phòng BHYT</t>
        </is>
      </c>
      <c r="M39" s="10" t="inlineStr">
        <is>
          <t>Khoa lâm sàng; CNTT</t>
        </is>
      </c>
      <c r="N39" s="10" t="inlineStr">
        <is>
          <t>Rà soát chỉ định ngày giường, công khám, khoa chỉ định đúng quy định BHYT</t>
        </is>
      </c>
      <c r="O39" s="10" t="n"/>
      <c r="P39" s="17" t="n">
        <v>937</v>
      </c>
    </row>
    <row r="40">
      <c r="A40" s="10" t="n">
        <v>36</v>
      </c>
      <c r="B40" s="10" t="inlineStr">
        <is>
          <t>XML4_INFO_ERROR_KET_LUAN_EMPTY</t>
        </is>
      </c>
      <c r="C40" s="10" t="inlineStr">
        <is>
          <t>XML4</t>
        </is>
      </c>
      <c r="D40" s="10" t="inlineStr">
        <is>
          <t>Kết luận không được để trống</t>
        </is>
      </c>
      <c r="E40" s="10" t="inlineStr">
        <is>
          <t>Có</t>
        </is>
      </c>
      <c r="F40" s="10" t="inlineStr">
        <is>
          <t>Có</t>
        </is>
      </c>
      <c r="G40" s="12" t="n">
        <v>1025</v>
      </c>
      <c r="H40" s="14">
        <f>G40/68213</f>
        <v/>
      </c>
      <c r="I40" s="10" t="inlineStr">
        <is>
          <t>Kết luận không được để trống đối với DVKT: 19.0222.0050.K.01916</t>
        </is>
      </c>
      <c r="J40" s="10" t="inlineStr">
        <is>
          <t>Kỹ thuật</t>
        </is>
      </c>
      <c r="K40" s="10" t="inlineStr">
        <is>
          <t>Kỹ thuật – Tích hợp HIS–PACS</t>
        </is>
      </c>
      <c r="L40" s="10" t="inlineStr">
        <is>
          <t>CNTT</t>
        </is>
      </c>
      <c r="M40" s="10" t="inlineStr">
        <is>
          <t>Hãng PACS; Khoa CĐHA; Khoa Y học hạt nhân</t>
        </is>
      </c>
      <c r="N40" s="10" t="inlineStr">
        <is>
          <t>PACS/RIS trả đủ mô tả và kết luận; khoa CĐHA không duyệt kết quả trống</t>
        </is>
      </c>
      <c r="O40" s="10" t="inlineStr">
        <is>
          <t>#40</t>
        </is>
      </c>
      <c r="P40" s="17" t="n">
        <v>878</v>
      </c>
    </row>
    <row r="41">
      <c r="A41" s="10" t="n">
        <v>37</v>
      </c>
      <c r="B41" s="10" t="inlineStr">
        <is>
          <t>XML7_INFO_ERROR_PP_DIEUTRI</t>
        </is>
      </c>
      <c r="C41" s="10" t="inlineStr">
        <is>
          <t>XML7</t>
        </is>
      </c>
      <c r="D41" s="10" t="inlineStr">
        <is>
          <t>Thiếu phương pháp điều trị</t>
        </is>
      </c>
      <c r="E41" s="10" t="inlineStr">
        <is>
          <t>Có</t>
        </is>
      </c>
      <c r="F41" s="10" t="inlineStr">
        <is>
          <t>Có</t>
        </is>
      </c>
      <c r="G41" s="12" t="n">
        <v>984</v>
      </c>
      <c r="H41" s="14">
        <f>G41/68213</f>
        <v/>
      </c>
      <c r="I41" s="10" t="inlineStr">
        <is>
          <t>Phương pháp điều trị không được để trống</t>
        </is>
      </c>
      <c r="J41" s="10" t="inlineStr">
        <is>
          <t>Nghiệp vụ</t>
        </is>
      </c>
      <c r="K41" s="10" t="inlineStr">
        <is>
          <t>Nghiệp vụ – Chuyên môn lâm sàng</t>
        </is>
      </c>
      <c r="L41" s="10" t="inlineStr">
        <is>
          <t>Khoa lâm sàng</t>
        </is>
      </c>
      <c r="M41" s="10" t="inlineStr">
        <is>
          <t>Phòng KHTH</t>
        </is>
      </c>
      <c r="N41" s="10" t="inlineStr">
        <is>
          <t>Bác sĩ nhập đủ, đúng nội dung chuyên môn trên HIS; Phòng KHTH kiểm tra</t>
        </is>
      </c>
      <c r="O41" s="10" t="inlineStr">
        <is>
          <t>#44</t>
        </is>
      </c>
      <c r="P41" s="17" t="n">
        <v>867</v>
      </c>
    </row>
    <row r="42">
      <c r="A42" s="10" t="n">
        <v>38</v>
      </c>
      <c r="B42" s="10" t="inlineStr">
        <is>
          <t>XML8_INFO_ERROR_PP_DIEUTRI</t>
        </is>
      </c>
      <c r="C42" s="10" t="inlineStr">
        <is>
          <t>XML8</t>
        </is>
      </c>
      <c r="D42" s="10" t="inlineStr">
        <is>
          <t>Thiếu phương pháp điều trị</t>
        </is>
      </c>
      <c r="E42" s="10" t="inlineStr">
        <is>
          <t>Có</t>
        </is>
      </c>
      <c r="F42" s="10" t="inlineStr">
        <is>
          <t>Có</t>
        </is>
      </c>
      <c r="G42" s="12" t="n">
        <v>978</v>
      </c>
      <c r="H42" s="14">
        <f>G42/68213</f>
        <v/>
      </c>
      <c r="I42" s="10" t="inlineStr">
        <is>
          <t>Phương pháp điều trị không được để trống</t>
        </is>
      </c>
      <c r="J42" s="10" t="inlineStr">
        <is>
          <t>Nghiệp vụ</t>
        </is>
      </c>
      <c r="K42" s="10" t="inlineStr">
        <is>
          <t>Nghiệp vụ – Chuyên môn lâm sàng</t>
        </is>
      </c>
      <c r="L42" s="10" t="inlineStr">
        <is>
          <t>Khoa lâm sàng</t>
        </is>
      </c>
      <c r="M42" s="10" t="inlineStr">
        <is>
          <t>Phòng KHTH</t>
        </is>
      </c>
      <c r="N42" s="10" t="inlineStr">
        <is>
          <t>Bác sĩ nhập đủ, đúng nội dung chuyên môn trên HIS; Phòng KHTH kiểm tra</t>
        </is>
      </c>
      <c r="O42" s="10" t="inlineStr">
        <is>
          <t>#47</t>
        </is>
      </c>
      <c r="P42" s="17" t="n">
        <v>862</v>
      </c>
    </row>
    <row r="43">
      <c r="A43" s="10" t="n">
        <v>39</v>
      </c>
      <c r="B43" s="10" t="inlineStr">
        <is>
          <t>XML1_ADMIN_INFO_ERROR_SO_CCCD</t>
        </is>
      </c>
      <c r="C43" s="10" t="inlineStr">
        <is>
          <t>XML1</t>
        </is>
      </c>
      <c r="D43" s="10" t="inlineStr">
        <is>
          <t>Thiếu số CCCD/Định danh cá nhân</t>
        </is>
      </c>
      <c r="E43" s="10" t="inlineStr">
        <is>
          <t>Không</t>
        </is>
      </c>
      <c r="F43" s="10" t="inlineStr">
        <is>
          <t>Có</t>
        </is>
      </c>
      <c r="G43" s="12" t="n">
        <v>937</v>
      </c>
      <c r="H43" s="14">
        <f>G43/68213</f>
        <v/>
      </c>
      <c r="I43" s="10" t="inlineStr">
        <is>
          <t>Số CCCD/định danh cá nhân không được để trống</t>
        </is>
      </c>
      <c r="J43" s="10" t="inlineStr">
        <is>
          <t>Nghiệp vụ</t>
        </is>
      </c>
      <c r="K43" s="10" t="inlineStr">
        <is>
          <t>Nghiệp vụ – Hành chính, tiếp đón</t>
        </is>
      </c>
      <c r="L43" s="10" t="inlineStr">
        <is>
          <t>Tiếp đón</t>
        </is>
      </c>
      <c r="M43" s="10" t="inlineStr">
        <is>
          <t>CNTT</t>
        </is>
      </c>
      <c r="N43" s="10" t="inlineStr">
        <is>
          <t>Tiếp đón nhập đủ thông tin hành chính; HIS bắt buộc trường bắt buộc</t>
        </is>
      </c>
      <c r="O43" s="10" t="n"/>
      <c r="P43" s="17" t="n">
        <v>501</v>
      </c>
    </row>
    <row r="44">
      <c r="A44" s="10" t="n">
        <v>40</v>
      </c>
      <c r="B44" s="10" t="inlineStr">
        <is>
          <t>XML3_INVALID_TEN_DICH_VU</t>
        </is>
      </c>
      <c r="C44" s="10" t="inlineStr">
        <is>
          <t>XML3</t>
        </is>
      </c>
      <c r="D44" s="10" t="inlineStr">
        <is>
          <t>Tên dịch vụ kỹ thuật khác tên được phê duyệt</t>
        </is>
      </c>
      <c r="E44" s="10" t="inlineStr">
        <is>
          <t>Có</t>
        </is>
      </c>
      <c r="F44" s="10" t="inlineStr">
        <is>
          <t>Có</t>
        </is>
      </c>
      <c r="G44" s="12" t="n">
        <v>828</v>
      </c>
      <c r="H44" s="14">
        <f>G44/68213</f>
        <v/>
      </c>
      <c r="I44" s="10" t="inlineStr">
        <is>
          <t>Mã DVKT: 22.0307.1306 có tên: Nghiệm pháp Coombs gián tiếp (Kỹ thuật Scangel/Gelcard trên máy tự động); Tên phê duyệt: Nghiệm pháp Coombs gián tiếp (kỹ thuật Scangel/Gelcard trên máy tự động)</t>
        </is>
      </c>
      <c r="J44" s="10" t="inlineStr">
        <is>
          <t>Nghiệp vụ</t>
        </is>
      </c>
      <c r="K44" s="10" t="inlineStr">
        <is>
          <t>Nghiệp vụ – Danh mục</t>
        </is>
      </c>
      <c r="L44" s="10" t="inlineStr">
        <is>
          <t>Phòng KHTH</t>
        </is>
      </c>
      <c r="M44" s="10" t="inlineStr">
        <is>
          <t>Phòng BHYT; CNTT</t>
        </is>
      </c>
      <c r="N44" s="10" t="inlineStr">
        <is>
          <t>Nhập đủ danh mục DVKT đã được BHXH phê duyệt (cơ sở 01929 chỉ có 8.123 dòng so với 15.660 của 37470); tên DVKT trên HIS theo đúng tên phê duyệt</t>
        </is>
      </c>
      <c r="O44" s="10" t="n"/>
      <c r="P44" s="17" t="n">
        <v>591</v>
      </c>
    </row>
    <row r="45">
      <c r="A45" s="10" t="n">
        <v>41</v>
      </c>
      <c r="B45" s="10" t="inlineStr">
        <is>
          <t>XML4_INFO_ERROR_MA_DICH_VU</t>
        </is>
      </c>
      <c r="C45" s="10" t="inlineStr">
        <is>
          <t>XML4</t>
        </is>
      </c>
      <c r="D45" s="10" t="inlineStr">
        <is>
          <t>Thiếu mã dịch vụ</t>
        </is>
      </c>
      <c r="E45" s="10" t="inlineStr">
        <is>
          <t>Có</t>
        </is>
      </c>
      <c r="F45" s="10" t="inlineStr">
        <is>
          <t>Có</t>
        </is>
      </c>
      <c r="G45" s="12" t="n">
        <v>766</v>
      </c>
      <c r="H45" s="14">
        <f>G45/68213</f>
        <v/>
      </c>
      <c r="I45" s="10" t="inlineStr">
        <is>
          <t>Mã dịch vụ không được để trống</t>
        </is>
      </c>
      <c r="J45" s="10" t="inlineStr">
        <is>
          <t>Kỹ thuật</t>
        </is>
      </c>
      <c r="K45" s="10" t="inlineStr">
        <is>
          <t>Kỹ thuật – HIS</t>
        </is>
      </c>
      <c r="L45" s="10" t="inlineStr">
        <is>
          <t>CNTT</t>
        </is>
      </c>
      <c r="M45" s="10" t="inlineStr">
        <is>
          <t>Phòng KHTH; Khoa Dược</t>
        </is>
      </c>
      <c r="N45" s="10" t="inlineStr">
        <is>
          <t>Sửa ánh xạ/định dạng dữ liệu khi HIS xuất XML; bắt buộc nhập trường còn thiếu</t>
        </is>
      </c>
      <c r="O45" s="10" t="n"/>
      <c r="P45" s="17" t="n">
        <v>734</v>
      </c>
    </row>
    <row r="46">
      <c r="A46" s="10" t="n">
        <v>42</v>
      </c>
      <c r="B46" s="10" t="inlineStr">
        <is>
          <t>XMLComplete_XML4_NGAY_KQ_MISMATCH_XML3</t>
        </is>
      </c>
      <c r="C46" s="10" t="inlineStr">
        <is>
          <t>XMLComplete</t>
        </is>
      </c>
      <c r="D46" s="10" t="inlineStr">
        <is>
          <t>Ngày KQ XML4 khác ngày KQ XML3</t>
        </is>
      </c>
      <c r="E46" s="10" t="inlineStr">
        <is>
          <t>Không</t>
        </is>
      </c>
      <c r="F46" s="10" t="inlineStr">
        <is>
          <t>Có</t>
        </is>
      </c>
      <c r="G46" s="12" t="n">
        <v>667</v>
      </c>
      <c r="H46" s="14">
        <f>G46/68213</f>
        <v/>
      </c>
      <c r="I46" s="10" t="inlineStr">
        <is>
          <t>Dịch vụ 19.0174.1866: ngày KQ XML4 (30/09/2026 15:06) khác ngày KQ XML3</t>
        </is>
      </c>
      <c r="J46" s="10" t="inlineStr">
        <is>
          <t>Kỹ thuật</t>
        </is>
      </c>
      <c r="K46" s="10" t="inlineStr">
        <is>
          <t>Kỹ thuật – Tích hợp HIS–PACS/LIS</t>
        </is>
      </c>
      <c r="L46" s="10" t="inlineStr">
        <is>
          <t>CNTT</t>
        </is>
      </c>
      <c r="M46" s="10" t="inlineStr">
        <is>
          <t>Khoa CĐHA; Khoa Xét nghiệm</t>
        </is>
      </c>
      <c r="N46" s="10" t="inlineStr">
        <is>
          <t>Thống nhất một nguồn thời gian trả kết quả giữa PACS/LIS và HIS; rà ca trả kết quả sau ra viện</t>
        </is>
      </c>
      <c r="O46" s="10" t="inlineStr">
        <is>
          <t>#38</t>
        </is>
      </c>
      <c r="P46" s="17" t="n">
        <v>547</v>
      </c>
    </row>
    <row r="47">
      <c r="A47" s="10" t="n">
        <v>43</v>
      </c>
      <c r="B47" s="10" t="inlineStr">
        <is>
          <t>XMLComplete_MUC_HUONG_EXCEEDS_ENTITLEMENT</t>
        </is>
      </c>
      <c r="C47" s="10" t="inlineStr">
        <is>
          <t>XMLComplete</t>
        </is>
      </c>
      <c r="D47" s="10" t="inlineStr">
        <is>
          <t>Mức hưởng khai vượt trần cho phép</t>
        </is>
      </c>
      <c r="E47" s="10" t="inlineStr">
        <is>
          <t>Có</t>
        </is>
      </c>
      <c r="F47" s="10" t="inlineStr">
        <is>
          <t>Có</t>
        </is>
      </c>
      <c r="G47" s="12" t="n">
        <v>609</v>
      </c>
      <c r="H47" s="14">
        <f>G47/68213</f>
        <v/>
      </c>
      <c r="I47" s="10" t="inlineStr">
        <is>
          <t>Hồ sơ đúng tuyến: mức hưởng khai tối đa 100%, trần cho phép 95% (quyền lợi thẻ 95%).</t>
        </is>
      </c>
      <c r="J47" s="10" t="inlineStr">
        <is>
          <t>Nghiệp vụ</t>
        </is>
      </c>
      <c r="K47" s="10" t="inlineStr">
        <is>
          <t>Nghiệp vụ – Quy định BHYT</t>
        </is>
      </c>
      <c r="L47" s="10" t="inlineStr">
        <is>
          <t>Phòng BHYT</t>
        </is>
      </c>
      <c r="M47" s="10" t="inlineStr">
        <is>
          <t>Tiếp đón; CNTT</t>
        </is>
      </c>
      <c r="N47" s="10" t="inlineStr">
        <is>
          <t>Tiếp đón khai đúng mã đối tượng, giấy chuyển tuyến/hẹn, mức hưởng theo thẻ; HIS chặn khi thiếu</t>
        </is>
      </c>
      <c r="O47" s="10" t="n"/>
      <c r="P47" s="17" t="n">
        <v>534</v>
      </c>
    </row>
    <row r="48">
      <c r="A48" s="10" t="n">
        <v>44</v>
      </c>
      <c r="B48" s="10" t="inlineStr">
        <is>
          <t>XMLComplete_BED_DAYS_BELOW_TT39</t>
        </is>
      </c>
      <c r="C48" s="10" t="inlineStr">
        <is>
          <t>XMLComplete</t>
        </is>
      </c>
      <c r="D48" s="10" t="inlineStr">
        <is>
          <t>Tổng ngày giường nhỏ hơn hướng dẫn TT39</t>
        </is>
      </c>
      <c r="E48" s="10" t="inlineStr">
        <is>
          <t>Không</t>
        </is>
      </c>
      <c r="F48" s="10" t="inlineStr">
        <is>
          <t>Có</t>
        </is>
      </c>
      <c r="G48" s="12" t="n">
        <v>607</v>
      </c>
      <c r="H48" s="14">
        <f>G48/68213</f>
        <v/>
      </c>
      <c r="I48" s="10" t="inlineStr">
        <is>
          <t>Tổng ngày giường khai 9 nhỏ hơn số ngày điều trị theo TT39 11 (chênh 2).</t>
        </is>
      </c>
      <c r="J48" s="10" t="inlineStr">
        <is>
          <t>Nghiệp vụ</t>
        </is>
      </c>
      <c r="K48" s="10" t="inlineStr">
        <is>
          <t>Nghiệp vụ – Quy định BHYT</t>
        </is>
      </c>
      <c r="L48" s="10" t="inlineStr">
        <is>
          <t>Phòng BHYT</t>
        </is>
      </c>
      <c r="M48" s="10" t="inlineStr">
        <is>
          <t>CNTT; Phòng TCKT</t>
        </is>
      </c>
      <c r="N48" s="10" t="inlineStr">
        <is>
          <t>Sửa cách HIS tính ngày giường theo TT39 / thanh toán PT lần 2 trong ngày</t>
        </is>
      </c>
      <c r="O48" s="10" t="n"/>
      <c r="P48" s="17" t="n">
        <v>547</v>
      </c>
    </row>
    <row r="49">
      <c r="A49" s="10" t="n">
        <v>45</v>
      </c>
      <c r="B49" s="10" t="inlineStr">
        <is>
          <t>XML3_INVALID_MATERIAL_NAME</t>
        </is>
      </c>
      <c r="C49" s="10" t="inlineStr">
        <is>
          <t>XML3</t>
        </is>
      </c>
      <c r="D49" s="10" t="inlineStr">
        <is>
          <t>Tên vật tư không khớp với danh mục phê duyệt</t>
        </is>
      </c>
      <c r="E49" s="10" t="inlineStr">
        <is>
          <t>Không</t>
        </is>
      </c>
      <c r="F49" s="10" t="inlineStr">
        <is>
          <t>Có</t>
        </is>
      </c>
      <c r="G49" s="12" t="n">
        <v>581</v>
      </c>
      <c r="H49" s="14">
        <f>G49/68213</f>
        <v/>
      </c>
      <c r="I49" s="10" t="inlineStr">
        <is>
          <t>Mã VTYT: N08.00.310.3272.279.0002 có tên: Mặt nạ Oxy không túi các loại, các cỡ; Tên phê duyệt: Mask thở Oxy</t>
        </is>
      </c>
      <c r="J49" s="10" t="inlineStr">
        <is>
          <t>Nghiệp vụ</t>
        </is>
      </c>
      <c r="K49" s="10" t="inlineStr">
        <is>
          <t>Nghiệp vụ – Danh mục</t>
        </is>
      </c>
      <c r="L49" s="10" t="inlineStr">
        <is>
          <t>Phòng VT-TBYT</t>
        </is>
      </c>
      <c r="M49" s="10" t="inlineStr">
        <is>
          <t>Phòng BHYT; CNTT</t>
        </is>
      </c>
      <c r="N49" s="10" t="inlineStr">
        <is>
          <t>Đối chiếu danh mục VTYT trên HIS với danh mục được duyệt theo thầu</t>
        </is>
      </c>
      <c r="O49" s="10" t="n"/>
      <c r="P49" s="17" t="n">
        <v>500</v>
      </c>
    </row>
    <row r="50">
      <c r="A50" s="10" t="n">
        <v>46</v>
      </c>
      <c r="B50" s="10" t="inlineStr">
        <is>
          <t>XMLComplete_ERROR_MULTIPLE_EXAMINATION_FEES_INPATIENT</t>
        </is>
      </c>
      <c r="C50" s="10" t="inlineStr">
        <is>
          <t>XMLComplete</t>
        </is>
      </c>
      <c r="D50" s="10" t="inlineStr">
        <is>
          <t>Thừa công khám cho Điều trị nội trú</t>
        </is>
      </c>
      <c r="E50" s="10" t="inlineStr">
        <is>
          <t>Có</t>
        </is>
      </c>
      <c r="F50" s="10" t="inlineStr">
        <is>
          <t>Có</t>
        </is>
      </c>
      <c r="G50" s="12" t="n">
        <v>571</v>
      </c>
      <c r="H50" s="14">
        <f>G50/68213</f>
        <v/>
      </c>
      <c r="I50" s="10" t="inlineStr">
        <is>
          <t>Chỉ cho phép có một lần công khám, số lượng hiện tại: 5</t>
        </is>
      </c>
      <c r="J50" s="10" t="inlineStr">
        <is>
          <t>Nghiệp vụ</t>
        </is>
      </c>
      <c r="K50" s="10" t="inlineStr">
        <is>
          <t>Nghiệp vụ – Quy định BHYT</t>
        </is>
      </c>
      <c r="L50" s="10" t="inlineStr">
        <is>
          <t>Phòng BHYT</t>
        </is>
      </c>
      <c r="M50" s="10" t="inlineStr">
        <is>
          <t>Khoa lâm sàng; CNTT</t>
        </is>
      </c>
      <c r="N50" s="10" t="inlineStr">
        <is>
          <t>Rà soát chỉ định ngày giường, công khám, khoa chỉ định đúng quy định BHYT</t>
        </is>
      </c>
      <c r="O50" s="10" t="n"/>
      <c r="P50" s="17" t="n">
        <v>459</v>
      </c>
    </row>
    <row r="51">
      <c r="A51" s="10" t="n">
        <v>47</v>
      </c>
      <c r="B51" s="10" t="inlineStr">
        <is>
          <t>XML1_SPECIAL_INPATIENT_ERROR_MA_LY_DO_VNT</t>
        </is>
      </c>
      <c r="C51" s="10" t="inlineStr">
        <is>
          <t>XML1</t>
        </is>
      </c>
      <c r="D51" s="10" t="inlineStr">
        <is>
          <t>Thiếu mã lý do vào nội trú</t>
        </is>
      </c>
      <c r="E51" s="10" t="inlineStr">
        <is>
          <t>Không</t>
        </is>
      </c>
      <c r="F51" s="10" t="inlineStr">
        <is>
          <t>Có</t>
        </is>
      </c>
      <c r="G51" s="12" t="n">
        <v>568</v>
      </c>
      <c r="H51" s="14">
        <f>G51/68213</f>
        <v/>
      </c>
      <c r="I51" s="10" t="inlineStr">
        <is>
          <t>Mã lý do vào nội trú không được để trống</t>
        </is>
      </c>
      <c r="J51" s="10" t="inlineStr">
        <is>
          <t>Nghiệp vụ</t>
        </is>
      </c>
      <c r="K51" s="10" t="inlineStr">
        <is>
          <t>Nghiệp vụ – Chuyên môn lâm sàng</t>
        </is>
      </c>
      <c r="L51" s="10" t="inlineStr">
        <is>
          <t>Khoa lâm sàng</t>
        </is>
      </c>
      <c r="M51" s="10" t="inlineStr">
        <is>
          <t>Phòng KHTH</t>
        </is>
      </c>
      <c r="N51" s="10" t="inlineStr">
        <is>
          <t>Bác sĩ nhập đủ, đúng nội dung chuyên môn trên HIS; Phòng KHTH kiểm tra</t>
        </is>
      </c>
      <c r="O51" s="10" t="inlineStr">
        <is>
          <t>#6</t>
        </is>
      </c>
      <c r="P51" s="17" t="n">
        <v>507</v>
      </c>
    </row>
    <row r="52">
      <c r="A52" s="10" t="n">
        <v>48</v>
      </c>
      <c r="B52" s="10" t="inlineStr">
        <is>
          <t>XML3_EXECUTION_TIME_TOO_LONG</t>
        </is>
      </c>
      <c r="C52" s="10" t="inlineStr">
        <is>
          <t>XML3</t>
        </is>
      </c>
      <c r="D52" s="10" t="inlineStr">
        <is>
          <t>Thời gian thực hiện dịch vụ dài bất thường</t>
        </is>
      </c>
      <c r="E52" s="10" t="inlineStr">
        <is>
          <t>Không</t>
        </is>
      </c>
      <c r="F52" s="10" t="inlineStr">
        <is>
          <t>Có</t>
        </is>
      </c>
      <c r="G52" s="12" t="n">
        <v>517</v>
      </c>
      <c r="H52" s="14">
        <f>G52/68213</f>
        <v/>
      </c>
      <c r="I52" s="10" t="inlineStr">
        <is>
          <t>Dịch vụ 01.0175.0196 (08/09/2026 11:00 - 08/09/2041 15:00) kéo dài 131500 giờ 0 phút, vượt ngưỡng 24 giờ. Kiểm tra lại NGAY_TH_YL / NGAY_KQ.</t>
        </is>
      </c>
      <c r="J52" s="10" t="inlineStr">
        <is>
          <t>Kỹ thuật</t>
        </is>
      </c>
      <c r="K52" s="10" t="inlineStr">
        <is>
          <t>Kỹ thuật – HIS</t>
        </is>
      </c>
      <c r="L52" s="10" t="inlineStr">
        <is>
          <t>CNTT</t>
        </is>
      </c>
      <c r="M52" s="10" t="inlineStr">
        <is>
          <t>Khoa lâm sàng; Khoa thăm dò chức năng</t>
        </is>
      </c>
      <c r="N52" s="10" t="inlineStr">
        <is>
          <t>Lấy giờ bắt đầu/kết thúc thật; rà các dòng PTTT/DVKT kéo dài bất thường (cảnh báo, quy tắc mới 15/10)</t>
        </is>
      </c>
      <c r="O52" s="10" t="inlineStr">
        <is>
          <t>#33</t>
        </is>
      </c>
      <c r="P52" s="17" t="n"/>
    </row>
    <row r="53">
      <c r="A53" s="10" t="n">
        <v>49</v>
      </c>
      <c r="B53" s="10" t="inlineStr">
        <is>
          <t>XML14_INFO_ERROR_NGAY_HEN_KL_SMALLER_NGAY_RA</t>
        </is>
      </c>
      <c r="C53" s="10" t="inlineStr">
        <is>
          <t>XML14</t>
        </is>
      </c>
      <c r="D53" s="10" t="inlineStr">
        <is>
          <t>Ngày hẹn khám lại nhỏ hơn hoặc bằng ngày ra</t>
        </is>
      </c>
      <c r="E53" s="10" t="inlineStr">
        <is>
          <t>Có</t>
        </is>
      </c>
      <c r="F53" s="10" t="inlineStr">
        <is>
          <t>Có</t>
        </is>
      </c>
      <c r="G53" s="12" t="n">
        <v>446</v>
      </c>
      <c r="H53" s="14">
        <f>G53/68213</f>
        <v/>
      </c>
      <c r="I53" s="10" t="inlineStr">
        <is>
          <t>Ngày hẹn khám lại không được nhỏ hơn hoặc bằng ngày ra: 30/09/2026 &lt;= 30/09/2026 15:17</t>
        </is>
      </c>
      <c r="J53" s="10" t="inlineStr">
        <is>
          <t>Nghiệp vụ</t>
        </is>
      </c>
      <c r="K53" s="10" t="inlineStr">
        <is>
          <t>Nghiệp vụ – Chuyên môn lâm sàng</t>
        </is>
      </c>
      <c r="L53" s="10" t="inlineStr">
        <is>
          <t>Khoa lâm sàng</t>
        </is>
      </c>
      <c r="M53" s="10" t="inlineStr">
        <is>
          <t>Phòng KHTH</t>
        </is>
      </c>
      <c r="N53" s="10" t="inlineStr">
        <is>
          <t>Bác sĩ nhập đủ, đúng nội dung chuyên môn trên HIS; Phòng KHTH kiểm tra</t>
        </is>
      </c>
      <c r="O53" s="10" t="inlineStr">
        <is>
          <t>#59</t>
        </is>
      </c>
      <c r="P53" s="17" t="n">
        <v>391</v>
      </c>
    </row>
    <row r="54">
      <c r="A54" s="10" t="n">
        <v>50</v>
      </c>
      <c r="B54" s="10" t="inlineStr">
        <is>
          <t>XML3_DATE_MISMATCH</t>
        </is>
      </c>
      <c r="C54" s="10" t="inlineStr">
        <is>
          <t>XML3</t>
        </is>
      </c>
      <c r="D54" s="10" t="inlineStr">
        <is>
          <t>Ngày y lệnh không khớp</t>
        </is>
      </c>
      <c r="E54" s="10" t="inlineStr">
        <is>
          <t>Có</t>
        </is>
      </c>
      <c r="F54" s="10" t="inlineStr">
        <is>
          <t>Có</t>
        </is>
      </c>
      <c r="G54" s="12" t="n">
        <v>442</v>
      </c>
      <c r="H54" s="14">
        <f>G54/68213</f>
        <v/>
      </c>
      <c r="I54" s="10" t="inlineStr">
        <is>
          <t>Mã dịch vụ: 28.0027.0384; Không tìm thấy ngày y lệnh khớp với vật tư: N08.00.260.0092.155.0003</t>
        </is>
      </c>
      <c r="J54" s="10" t="inlineStr">
        <is>
          <t>Nghiệp vụ</t>
        </is>
      </c>
      <c r="K54" s="10" t="inlineStr">
        <is>
          <t>Nghiệp vụ – Chuyên môn lâm sàng</t>
        </is>
      </c>
      <c r="L54" s="10" t="inlineStr">
        <is>
          <t>Khoa lâm sàng</t>
        </is>
      </c>
      <c r="M54" s="10" t="inlineStr">
        <is>
          <t>Phòng KHTH; CNTT</t>
        </is>
      </c>
      <c r="N54" s="10" t="inlineStr">
        <is>
          <t>Rà soát quy trình chỉ định – thực hiện; không gán giờ/người đồng loạt</t>
        </is>
      </c>
      <c r="O54" s="10" t="n"/>
      <c r="P54" s="17" t="n">
        <v>376</v>
      </c>
    </row>
    <row r="55">
      <c r="A55" s="10" t="n">
        <v>51</v>
      </c>
      <c r="B55" s="10" t="inlineStr">
        <is>
          <t>XML2_INVALID_DRUG_CODE</t>
        </is>
      </c>
      <c r="C55" s="10" t="inlineStr">
        <is>
          <t>XML2</t>
        </is>
      </c>
      <c r="D55" s="10" t="inlineStr">
        <is>
          <t>Mã thuốc chưa có trong danh mục BHYT</t>
        </is>
      </c>
      <c r="E55" s="10" t="inlineStr">
        <is>
          <t>Có</t>
        </is>
      </c>
      <c r="F55" s="10" t="inlineStr">
        <is>
          <t>Có</t>
        </is>
      </c>
      <c r="G55" s="12" t="n">
        <v>396</v>
      </c>
      <c r="H55" s="14">
        <f>G55/68213</f>
        <v/>
      </c>
      <c r="I55" s="10" t="inlineStr">
        <is>
          <t>Mã thuốc không có trong danh mục BHYT: 40.998</t>
        </is>
      </c>
      <c r="J55" s="10" t="inlineStr">
        <is>
          <t>Nghiệp vụ</t>
        </is>
      </c>
      <c r="K55" s="10" t="inlineStr">
        <is>
          <t>Nghiệp vụ – Danh mục</t>
        </is>
      </c>
      <c r="L55" s="10" t="inlineStr">
        <is>
          <t>Khoa Dược</t>
        </is>
      </c>
      <c r="M55" s="10" t="inlineStr">
        <is>
          <t>Phòng BHYT; CNTT</t>
        </is>
      </c>
      <c r="N55" s="10" t="inlineStr">
        <is>
          <t>Khoa Dược đối chiếu danh mục thuốc trên HIS với danh mục được duyệt (mã, tên, hàm lượng, SĐK, thầu, đường dùng, dạng bào chế, ĐVT, giá)</t>
        </is>
      </c>
      <c r="O55" s="10" t="inlineStr">
        <is>
          <t>#18, #19</t>
        </is>
      </c>
      <c r="P55" s="17" t="n">
        <v>337</v>
      </c>
    </row>
    <row r="56">
      <c r="A56" s="10" t="n">
        <v>52</v>
      </c>
      <c r="B56" s="10" t="inlineStr">
        <is>
          <t>XML1_DOI_TUONG_KCB_KHONG_THE_SAI_MA</t>
        </is>
      </c>
      <c r="C56" s="10" t="inlineStr">
        <is>
          <t>XML1</t>
        </is>
      </c>
      <c r="D56" s="10" t="inlineStr">
        <is>
          <t>Không có mã thẻ BHYT nhưng mã đối tượng không phải 9</t>
        </is>
      </c>
      <c r="E56" s="10" t="inlineStr">
        <is>
          <t>Có</t>
        </is>
      </c>
      <c r="F56" s="10" t="inlineStr">
        <is>
          <t>Có</t>
        </is>
      </c>
      <c r="G56" s="12" t="n">
        <v>343</v>
      </c>
      <c r="H56" s="14">
        <f>G56/68213</f>
        <v/>
      </c>
      <c r="I56" s="10" t="inlineStr">
        <is>
          <t>MA_THE_BHYT để trống nhưng mã đối tượng khai là 3.1 (Tự đến KCB tại cơ sở cấp chuyên sâu trước đây là tuyến trung ương). Không có thẻ BHYT thì mã đối tượng phải là 9 - Người bệnh không KCB BHYT</t>
        </is>
      </c>
      <c r="J56" s="10" t="inlineStr">
        <is>
          <t>Nghiệp vụ</t>
        </is>
      </c>
      <c r="K56" s="10" t="inlineStr">
        <is>
          <t>Nghiệp vụ – Quy định BHYT</t>
        </is>
      </c>
      <c r="L56" s="10" t="inlineStr">
        <is>
          <t>Phòng BHYT</t>
        </is>
      </c>
      <c r="M56" s="10" t="inlineStr">
        <is>
          <t>Tiếp đón; CNTT</t>
        </is>
      </c>
      <c r="N56" s="10" t="inlineStr">
        <is>
          <t>Tiếp đón khai đúng mã đối tượng, giấy chuyển tuyến/hẹn, mức hưởng theo thẻ; HIS chặn khi thiếu</t>
        </is>
      </c>
      <c r="O56" s="10" t="n"/>
      <c r="P56" s="17" t="n">
        <v>2</v>
      </c>
    </row>
    <row r="57">
      <c r="A57" s="10" t="n">
        <v>53</v>
      </c>
      <c r="B57" s="10" t="inlineStr">
        <is>
          <t>XML3_INFO_ERROR_PP_VO_CAM_EMPTY</t>
        </is>
      </c>
      <c r="C57" s="10" t="inlineStr">
        <is>
          <t>XML3</t>
        </is>
      </c>
      <c r="D57" s="10" t="inlineStr">
        <is>
          <t>Thiếu phương pháp vô cảm</t>
        </is>
      </c>
      <c r="E57" s="10" t="inlineStr">
        <is>
          <t>Có</t>
        </is>
      </c>
      <c r="F57" s="10" t="inlineStr">
        <is>
          <t>Có</t>
        </is>
      </c>
      <c r="G57" s="12" t="n">
        <v>327</v>
      </c>
      <c r="H57" s="14">
        <f>G57/68213</f>
        <v/>
      </c>
      <c r="I57" s="10" t="inlineStr">
        <is>
          <t>Phương pháp vô cảm không được để trống đối với dịch vụ: Điều trị tủy răng và hàn kín hệ thống ống tủy bằng Gutta percha nguội có sử dụng trâm xoay máy [răng số 1, 2, 3]</t>
        </is>
      </c>
      <c r="J57" s="10" t="inlineStr">
        <is>
          <t>Nghiệp vụ</t>
        </is>
      </c>
      <c r="K57" s="10" t="inlineStr">
        <is>
          <t>Nghiệp vụ – Chuyên môn lâm sàng</t>
        </is>
      </c>
      <c r="L57" s="10" t="inlineStr">
        <is>
          <t>Khoa lâm sàng</t>
        </is>
      </c>
      <c r="M57" s="10" t="inlineStr">
        <is>
          <t>Phòng KHTH</t>
        </is>
      </c>
      <c r="N57" s="10" t="inlineStr">
        <is>
          <t>Bác sĩ nhập đủ, đúng nội dung chuyên môn trên HIS; Phòng KHTH kiểm tra</t>
        </is>
      </c>
      <c r="O57" s="10" t="inlineStr">
        <is>
          <t>#34</t>
        </is>
      </c>
      <c r="P57" s="17" t="n">
        <v>289</v>
      </c>
    </row>
    <row r="58">
      <c r="A58" s="10" t="n">
        <v>54</v>
      </c>
      <c r="B58" s="10" t="inlineStr">
        <is>
          <t>XMLComplete_NGAY_TAI_KHAM_KHONG_KHOP_XML14</t>
        </is>
      </c>
      <c r="C58" s="10" t="inlineStr">
        <is>
          <t>XMLComplete</t>
        </is>
      </c>
      <c r="D58" s="10" t="inlineStr">
        <is>
          <t>Ngày tái khám không có giấy hẹn khám lại tương ứng</t>
        </is>
      </c>
      <c r="E58" s="10" t="inlineStr">
        <is>
          <t>Không</t>
        </is>
      </c>
      <c r="F58" s="10" t="inlineStr">
        <is>
          <t>Có</t>
        </is>
      </c>
      <c r="G58" s="12" t="n">
        <v>238</v>
      </c>
      <c r="H58" s="14">
        <f>G58/68213</f>
        <v/>
      </c>
      <c r="I58" s="10" t="inlineStr">
        <is>
          <t>Hồ sơ hẹn tái khám ngày 20261223 nhưng không có giấy hẹn khám lại (XML14)</t>
        </is>
      </c>
      <c r="J58" s="10" t="inlineStr">
        <is>
          <t>Nghiệp vụ</t>
        </is>
      </c>
      <c r="K58" s="10" t="inlineStr">
        <is>
          <t>Nghiệp vụ – Chuyên môn lâm sàng</t>
        </is>
      </c>
      <c r="L58" s="10" t="inlineStr">
        <is>
          <t>Khoa lâm sàng</t>
        </is>
      </c>
      <c r="M58" s="10" t="inlineStr">
        <is>
          <t>Phòng KHTH</t>
        </is>
      </c>
      <c r="N58" s="10" t="inlineStr">
        <is>
          <t>Bác sĩ nhập đủ, đúng nội dung chuyên môn trên HIS; Phòng KHTH kiểm tra</t>
        </is>
      </c>
      <c r="O58" s="10" t="n"/>
      <c r="P58" s="17" t="n">
        <v>205</v>
      </c>
    </row>
    <row r="59">
      <c r="A59" s="10" t="n">
        <v>55</v>
      </c>
      <c r="B59" s="10" t="inlineStr">
        <is>
          <t>XML3_EXCEEDS_APPROVED_PRICE</t>
        </is>
      </c>
      <c r="C59" s="10" t="inlineStr">
        <is>
          <t>XML3</t>
        </is>
      </c>
      <c r="D59" s="10" t="inlineStr">
        <is>
          <t>Giá vật tư cao hơn giá được phê duyệt</t>
        </is>
      </c>
      <c r="E59" s="10" t="inlineStr">
        <is>
          <t>Không</t>
        </is>
      </c>
      <c r="F59" s="10" t="inlineStr">
        <is>
          <t>Có</t>
        </is>
      </c>
      <c r="G59" s="12" t="n">
        <v>234</v>
      </c>
      <c r="H59" s="14">
        <f>G59/68213</f>
        <v/>
      </c>
      <c r="I59" s="10" t="inlineStr">
        <is>
          <t>Mã VTYT: N08.00.260; Có giá: 6250000; Giá phê duyệt: 5600000.00</t>
        </is>
      </c>
      <c r="J59" s="10" t="inlineStr">
        <is>
          <t>Nghiệp vụ</t>
        </is>
      </c>
      <c r="K59" s="10" t="inlineStr">
        <is>
          <t>Nghiệp vụ – Danh mục</t>
        </is>
      </c>
      <c r="L59" s="10" t="inlineStr">
        <is>
          <t>Phòng VT-TBYT</t>
        </is>
      </c>
      <c r="M59" s="10" t="inlineStr">
        <is>
          <t>Phòng BHYT; CNTT</t>
        </is>
      </c>
      <c r="N59" s="10" t="inlineStr">
        <is>
          <t>Đối chiếu danh mục VTYT trên HIS với danh mục được duyệt theo thầu</t>
        </is>
      </c>
      <c r="O59" s="10" t="n"/>
      <c r="P59" s="17" t="n">
        <v>198</v>
      </c>
    </row>
    <row r="60">
      <c r="A60" s="10" t="n">
        <v>56</v>
      </c>
      <c r="B60" s="10" t="inlineStr">
        <is>
          <t>XML3_INVALID_DEPARTMENT_CODE</t>
        </is>
      </c>
      <c r="C60" s="10" t="inlineStr">
        <is>
          <t>XML3</t>
        </is>
      </c>
      <c r="D60" s="10" t="inlineStr">
        <is>
          <t>Khoa chỉ định giường không đúng quy định</t>
        </is>
      </c>
      <c r="E60" s="10" t="inlineStr">
        <is>
          <t>Không</t>
        </is>
      </c>
      <c r="F60" s="10" t="inlineStr">
        <is>
          <t>Có</t>
        </is>
      </c>
      <c r="G60" s="12" t="n">
        <v>199</v>
      </c>
      <c r="H60" s="14">
        <f>G60/68213</f>
        <v/>
      </c>
      <c r="I60" s="10" t="inlineStr">
        <is>
          <t>Khoa chỉ định: K103436 (liên khoa K10, K34, K36); Mã giường: K33.GBN.1 — khoa của giường không thuộc khoa chỉ định</t>
        </is>
      </c>
      <c r="J60" s="10" t="inlineStr">
        <is>
          <t>Nghiệp vụ</t>
        </is>
      </c>
      <c r="K60" s="10" t="inlineStr">
        <is>
          <t>Nghiệp vụ – Quy định BHYT</t>
        </is>
      </c>
      <c r="L60" s="10" t="inlineStr">
        <is>
          <t>Phòng BHYT</t>
        </is>
      </c>
      <c r="M60" s="10" t="inlineStr">
        <is>
          <t>Khoa lâm sàng; CNTT</t>
        </is>
      </c>
      <c r="N60" s="10" t="inlineStr">
        <is>
          <t>Khoa chỉ định giường phải đúng khoa của giường (trừ liên chuyên khoa)</t>
        </is>
      </c>
      <c r="O60" s="10" t="n"/>
      <c r="P60" s="17" t="n">
        <v>185</v>
      </c>
    </row>
    <row r="61">
      <c r="A61" s="10" t="n">
        <v>57</v>
      </c>
      <c r="B61" s="10" t="inlineStr">
        <is>
          <t>XMLComplete_SECOND_SURGERY_FULL_PAYMENT</t>
        </is>
      </c>
      <c r="C61" s="10" t="inlineStr">
        <is>
          <t>XMLComplete</t>
        </is>
      </c>
      <c r="D61" s="10" t="inlineStr">
        <is>
          <t>Phẫu thuật lần 2 trong ngày thanh toán 100%</t>
        </is>
      </c>
      <c r="E61" s="10" t="inlineStr">
        <is>
          <t>Có</t>
        </is>
      </c>
      <c r="F61" s="10" t="inlineStr">
        <is>
          <t>Có</t>
        </is>
      </c>
      <c r="G61" s="12" t="n">
        <v>147</v>
      </c>
      <c r="H61" s="14">
        <f>G61/68213</f>
        <v/>
      </c>
      <c r="I61" s="10" t="inlineStr">
        <is>
          <t>Phẫu thuật lần 7 ngày 20260930 (dịch vụ 03.2508.1049) thanh toán 100%</t>
        </is>
      </c>
      <c r="J61" s="10" t="inlineStr">
        <is>
          <t>Nghiệp vụ</t>
        </is>
      </c>
      <c r="K61" s="10" t="inlineStr">
        <is>
          <t>Nghiệp vụ – Quy định BHYT</t>
        </is>
      </c>
      <c r="L61" s="10" t="inlineStr">
        <is>
          <t>Phòng BHYT</t>
        </is>
      </c>
      <c r="M61" s="10" t="inlineStr">
        <is>
          <t>CNTT; Phòng TCKT</t>
        </is>
      </c>
      <c r="N61" s="10" t="inlineStr">
        <is>
          <t>Sửa cách HIS tính ngày giường theo TT39 / thanh toán PT lần 2 trong ngày</t>
        </is>
      </c>
      <c r="O61" s="10" t="n"/>
      <c r="P61" s="17" t="n">
        <v>79</v>
      </c>
    </row>
    <row r="62">
      <c r="A62" s="10" t="n">
        <v>58</v>
      </c>
      <c r="B62" s="10" t="inlineStr">
        <is>
          <t>XML1_ADMIN_INFO_ERROR_MA_NGHE_NGHIEP_NOT_FOUND</t>
        </is>
      </c>
      <c r="C62" s="10" t="inlineStr">
        <is>
          <t>XML1</t>
        </is>
      </c>
      <c r="D62" s="10" t="inlineStr">
        <is>
          <t>Mã nghề nghiệp không tồn tại</t>
        </is>
      </c>
      <c r="E62" s="10" t="inlineStr">
        <is>
          <t>Có</t>
        </is>
      </c>
      <c r="F62" s="10" t="inlineStr">
        <is>
          <t>Có</t>
        </is>
      </c>
      <c r="G62" s="12" t="n">
        <v>112</v>
      </c>
      <c r="H62" s="14">
        <f>G62/68213</f>
        <v/>
      </c>
      <c r="I62" s="10" t="inlineStr">
        <is>
          <t>Mã nghề nghiệp không tồn tại trong danh mục nghề nghiệp: 99</t>
        </is>
      </c>
      <c r="J62" s="10" t="inlineStr">
        <is>
          <t>Kỹ thuật</t>
        </is>
      </c>
      <c r="K62" s="10" t="inlineStr">
        <is>
          <t>Kỹ thuật – HIS</t>
        </is>
      </c>
      <c r="L62" s="10" t="inlineStr">
        <is>
          <t>CNTT</t>
        </is>
      </c>
      <c r="M62" s="10" t="inlineStr">
        <is>
          <t>Tiếp đón</t>
        </is>
      </c>
      <c r="N62" s="10" t="inlineStr">
        <is>
          <t>Cập nhật danh mục hành chính 2 cấp và danh mục nghề nghiệp trên HIS; khoá mã cũ</t>
        </is>
      </c>
      <c r="O62" s="10" t="n"/>
      <c r="P62" s="17" t="n">
        <v>108</v>
      </c>
    </row>
    <row r="63">
      <c r="A63" s="10" t="n">
        <v>59</v>
      </c>
      <c r="B63" s="10" t="inlineStr">
        <is>
          <t>XML2_INVALID_TT_THAU</t>
        </is>
      </c>
      <c r="C63" s="10" t="inlineStr">
        <is>
          <t>XML2</t>
        </is>
      </c>
      <c r="D63" s="10" t="inlineStr">
        <is>
          <t>Mã thuốc sai thông tin thầu trong danh mục BHYT</t>
        </is>
      </c>
      <c r="E63" s="10" t="inlineStr">
        <is>
          <t>Không</t>
        </is>
      </c>
      <c r="F63" s="10" t="inlineStr">
        <is>
          <t>Có</t>
        </is>
      </c>
      <c r="G63" s="12" t="n">
        <v>107</v>
      </c>
      <c r="H63" s="14">
        <f>G63/68213</f>
        <v/>
      </c>
      <c r="I63" s="10" t="inlineStr">
        <is>
          <t>Mã thuốc: 40.981; Sai TT_THAU: KQ2500018490_2503131829;G2;N1;2025</t>
        </is>
      </c>
      <c r="J63" s="10" t="inlineStr">
        <is>
          <t>Nghiệp vụ</t>
        </is>
      </c>
      <c r="K63" s="10" t="inlineStr">
        <is>
          <t>Nghiệp vụ – Danh mục</t>
        </is>
      </c>
      <c r="L63" s="10" t="inlineStr">
        <is>
          <t>Khoa Dược</t>
        </is>
      </c>
      <c r="M63" s="10" t="inlineStr">
        <is>
          <t>Phòng BHYT; CNTT</t>
        </is>
      </c>
      <c r="N63" s="10" t="inlineStr">
        <is>
          <t>Khoa Dược đối chiếu danh mục thuốc trên HIS với danh mục được duyệt (mã, tên, hàm lượng, SĐK, thầu, đường dùng, dạng bào chế, ĐVT, giá)</t>
        </is>
      </c>
      <c r="O63" s="10" t="n"/>
      <c r="P63" s="17" t="n">
        <v>90</v>
      </c>
    </row>
    <row r="64">
      <c r="A64" s="10" t="n">
        <v>60</v>
      </c>
      <c r="B64" s="10" t="inlineStr">
        <is>
          <t>XML1_DOI_TUONG_KCB_BENH_NGOAI_PL1</t>
        </is>
      </c>
      <c r="C64" s="10" t="inlineStr">
        <is>
          <t>XML1</t>
        </is>
      </c>
      <c r="D64" s="10" t="inlineStr">
        <is>
          <t>Tự đến cơ sở cấp chuyên sâu nhưng bệnh không thuộc Phụ lục I TT 01/2025</t>
        </is>
      </c>
      <c r="E64" s="10" t="inlineStr">
        <is>
          <t>Có</t>
        </is>
      </c>
      <c r="F64" s="10" t="inlineStr">
        <is>
          <t>Có</t>
        </is>
      </c>
      <c r="G64" s="12" t="n">
        <v>104</v>
      </c>
      <c r="H64" s="14">
        <f>G64/68213</f>
        <v/>
      </c>
      <c r="I64" s="10" t="inlineStr">
        <is>
          <t>Mã đối tượng 1.17 nhưng MA_BENH_CHINH = Z95.2 không thuộc Phụ lục I Thông tư 01/2025/TT-BYT</t>
        </is>
      </c>
      <c r="J64" s="10" t="inlineStr">
        <is>
          <t>Nghiệp vụ</t>
        </is>
      </c>
      <c r="K64" s="10" t="inlineStr">
        <is>
          <t>Nghiệp vụ – Quy định BHYT</t>
        </is>
      </c>
      <c r="L64" s="10" t="inlineStr">
        <is>
          <t>Phòng BHYT</t>
        </is>
      </c>
      <c r="M64" s="10" t="inlineStr">
        <is>
          <t>Tiếp đón; CNTT</t>
        </is>
      </c>
      <c r="N64" s="10" t="inlineStr">
        <is>
          <t>Tiếp đón khai đúng mã đối tượng, giấy chuyển tuyến/hẹn, mức hưởng theo thẻ; HIS chặn khi thiếu</t>
        </is>
      </c>
      <c r="O64" s="10" t="n"/>
      <c r="P64" s="17" t="n">
        <v>5</v>
      </c>
    </row>
    <row r="65">
      <c r="A65" s="10" t="n">
        <v>61</v>
      </c>
      <c r="B65" s="10" t="inlineStr">
        <is>
          <t>XML3_MEDICAL_SUPPLY_NOT_IN_CATALOG</t>
        </is>
      </c>
      <c r="C65" s="10" t="inlineStr">
        <is>
          <t>XML3</t>
        </is>
      </c>
      <c r="D65" s="10" t="inlineStr">
        <is>
          <t>VTYT nằm ngoài danh mục BHYT</t>
        </is>
      </c>
      <c r="E65" s="10" t="inlineStr">
        <is>
          <t>Không</t>
        </is>
      </c>
      <c r="F65" s="10" t="inlineStr">
        <is>
          <t>Có</t>
        </is>
      </c>
      <c r="G65" s="12" t="n">
        <v>84</v>
      </c>
      <c r="H65" s="14">
        <f>G65/68213</f>
        <v/>
      </c>
      <c r="I65" s="10" t="inlineStr">
        <is>
          <t>VTYT có mã:  với TT_THAU: 6365/QĐ-BM;G0;N0;2026 không có trong danh mục BHYT</t>
        </is>
      </c>
      <c r="J65" s="10" t="inlineStr">
        <is>
          <t>Nghiệp vụ</t>
        </is>
      </c>
      <c r="K65" s="10" t="inlineStr">
        <is>
          <t>Nghiệp vụ – Danh mục</t>
        </is>
      </c>
      <c r="L65" s="10" t="inlineStr">
        <is>
          <t>Phòng VT-TBYT</t>
        </is>
      </c>
      <c r="M65" s="10" t="inlineStr">
        <is>
          <t>Phòng BHYT; CNTT</t>
        </is>
      </c>
      <c r="N65" s="10" t="inlineStr">
        <is>
          <t>Đối chiếu danh mục VTYT trên HIS với danh mục được duyệt theo thầu</t>
        </is>
      </c>
      <c r="O65" s="10" t="n"/>
      <c r="P65" s="17" t="n">
        <v>72</v>
      </c>
    </row>
    <row r="66">
      <c r="A66" s="10" t="n">
        <v>62</v>
      </c>
      <c r="B66" s="10" t="inlineStr">
        <is>
          <t>XMLComplete_THUOC_DVKT_ME_KHONG_KHOP</t>
        </is>
      </c>
      <c r="C66" s="10" t="inlineStr">
        <is>
          <t>XMLComplete</t>
        </is>
      </c>
      <c r="D66" s="10" t="inlineStr">
        <is>
          <t>Thuốc gắn DVKT mẹ không được BHYT thanh toán</t>
        </is>
      </c>
      <c r="E66" s="10" t="inlineStr">
        <is>
          <t>Có</t>
        </is>
      </c>
      <c r="F66" s="10" t="inlineStr">
        <is>
          <t>Có</t>
        </is>
      </c>
      <c r="G66" s="12" t="n">
        <v>81</v>
      </c>
      <c r="H66" s="14">
        <f>G66/68213</f>
        <v/>
      </c>
      <c r="I66" s="10" t="inlineStr">
        <is>
          <t>Iopamiro gắn DVKT 18.0191.0040: DVKT 18.0191.0040 Chụp cắt lớp vi tính lồng ngực không tiêm thuốc cản quang (từ 1- 32 dãy) (PACS) không thuộc danh sách DVKT mẹ hợp lệ của vật phẩm. Hợp lệ: 18.0133.0019 Chụp Xquang đường mật qua Kehr; 18.0150.0041 Chụp CLVT …</t>
        </is>
      </c>
      <c r="J66" s="10" t="inlineStr">
        <is>
          <t>Nghiệp vụ</t>
        </is>
      </c>
      <c r="K66" s="10" t="inlineStr">
        <is>
          <t>Nghiệp vụ – Quy định BHYT</t>
        </is>
      </c>
      <c r="L66" s="10" t="inlineStr">
        <is>
          <t>Phòng BHYT</t>
        </is>
      </c>
      <c r="M66" s="10" t="inlineStr">
        <is>
          <t>Khoa lâm sàng; CNTT</t>
        </is>
      </c>
      <c r="N66" s="10" t="inlineStr">
        <is>
          <t>Khai thuốc/VTYT kèm đúng DVKT mẹ (MA_DICH_VU, GOI_VTYT) theo danh mục vật phẩm kèm DVKT; rà soát danh mục ở màn quản trị "Vật phẩm kèm DVKT"</t>
        </is>
      </c>
      <c r="O66" s="10" t="n"/>
      <c r="P66" s="17" t="n"/>
    </row>
    <row r="67">
      <c r="A67" s="10" t="n">
        <v>63</v>
      </c>
      <c r="B67" s="10" t="inlineStr">
        <is>
          <t>XML1_ADMIN_INFO_ERROR_MA_DANTOC</t>
        </is>
      </c>
      <c r="C67" s="10" t="inlineStr">
        <is>
          <t>XML1</t>
        </is>
      </c>
      <c r="D67" s="10" t="inlineStr">
        <is>
          <t>Thiếu mã dân tộc</t>
        </is>
      </c>
      <c r="E67" s="10" t="inlineStr">
        <is>
          <t>Có</t>
        </is>
      </c>
      <c r="F67" s="10" t="inlineStr">
        <is>
          <t>Có</t>
        </is>
      </c>
      <c r="G67" s="12" t="n">
        <v>79</v>
      </c>
      <c r="H67" s="14">
        <f>G67/68213</f>
        <v/>
      </c>
      <c r="I67" s="10" t="inlineStr">
        <is>
          <t>Mã dân tộc không được để trống</t>
        </is>
      </c>
      <c r="J67" s="10" t="inlineStr">
        <is>
          <t>Nghiệp vụ</t>
        </is>
      </c>
      <c r="K67" s="10" t="inlineStr">
        <is>
          <t>Nghiệp vụ – Hành chính, tiếp đón</t>
        </is>
      </c>
      <c r="L67" s="10" t="inlineStr">
        <is>
          <t>Tiếp đón</t>
        </is>
      </c>
      <c r="M67" s="10" t="inlineStr">
        <is>
          <t>CNTT</t>
        </is>
      </c>
      <c r="N67" s="10" t="inlineStr">
        <is>
          <t>Tiếp đón nhập đủ thông tin hành chính; HIS bắt buộc trường bắt buộc</t>
        </is>
      </c>
      <c r="O67" s="10" t="n"/>
      <c r="P67" s="17" t="n">
        <v>70</v>
      </c>
    </row>
    <row r="68">
      <c r="A68" s="10" t="n">
        <v>64</v>
      </c>
      <c r="B68" s="10" t="inlineStr">
        <is>
          <t>XML3_T_BHTT_SAI_CONG_THUC</t>
        </is>
      </c>
      <c r="C68" s="10" t="inlineStr">
        <is>
          <t>XML3</t>
        </is>
      </c>
      <c r="D68" s="10" t="inlineStr">
        <is>
          <t>Tiền BHYT thanh toán không đúng công thức</t>
        </is>
      </c>
      <c r="E68" s="10" t="inlineStr">
        <is>
          <t>Không</t>
        </is>
      </c>
      <c r="F68" s="10" t="inlineStr">
        <is>
          <t>Có</t>
        </is>
      </c>
      <c r="G68" s="12" t="n">
        <v>75</v>
      </c>
      <c r="H68" s="14">
        <f>G68/68213</f>
        <v/>
      </c>
      <c r="I68" s="10" t="inlineStr">
        <is>
          <t>T_BHTT = THANH_TIEN_BH x MUC_HUONG/100 = 9,912,800.00, hiện khai: 9,015,203.72</t>
        </is>
      </c>
      <c r="J68" s="10" t="inlineStr">
        <is>
          <t>Kỹ thuật</t>
        </is>
      </c>
      <c r="K68" s="10" t="inlineStr">
        <is>
          <t>Kỹ thuật – HIS</t>
        </is>
      </c>
      <c r="L68" s="10" t="inlineStr">
        <is>
          <t>CNTT</t>
        </is>
      </c>
      <c r="M68" s="10" t="inlineStr">
        <is>
          <t>Phòng TCKT; Phòng BHYT</t>
        </is>
      </c>
      <c r="N68" s="10" t="inlineStr">
        <is>
          <t>Sửa công thức tính tiền/tỷ lệ/nguồn chi trả trên HIS</t>
        </is>
      </c>
      <c r="O68" s="10" t="n"/>
      <c r="P68" s="17" t="n">
        <v>64</v>
      </c>
    </row>
    <row r="69">
      <c r="A69" s="10" t="n">
        <v>65</v>
      </c>
      <c r="B69" s="10" t="inlineStr">
        <is>
          <t>XML2_LIEU_DUNG_QUANTITY_MISMATCH</t>
        </is>
      </c>
      <c r="C69" s="10" t="inlineStr">
        <is>
          <t>XML2</t>
        </is>
      </c>
      <c r="D69" s="10" t="inlineStr">
        <is>
          <t>Tổng lượng theo liều khác số lượng thanh toán</t>
        </is>
      </c>
      <c r="E69" s="10" t="inlineStr">
        <is>
          <t>Không</t>
        </is>
      </c>
      <c r="F69" s="10" t="inlineStr">
        <is>
          <t>Có</t>
        </is>
      </c>
      <c r="G69" s="12" t="n">
        <v>71</v>
      </c>
      <c r="H69" s="14">
        <f>G69/68213</f>
        <v/>
      </c>
      <c r="I69" s="10" t="inlineStr">
        <is>
          <t>Tổng lượng theo liều (95.004) cao hơn số lượng thanh toán (95). Thuốc: Đảng sâm</t>
        </is>
      </c>
      <c r="J69" s="10" t="inlineStr">
        <is>
          <t>Kỹ thuật</t>
        </is>
      </c>
      <c r="K69" s="10" t="inlineStr">
        <is>
          <t>Kỹ thuật – HIS</t>
        </is>
      </c>
      <c r="L69" s="10" t="inlineStr">
        <is>
          <t>CNTT</t>
        </is>
      </c>
      <c r="M69" s="10" t="inlineStr">
        <is>
          <t>Phòng KHTH; Khoa Dược</t>
        </is>
      </c>
      <c r="N69" s="10" t="inlineStr">
        <is>
          <t>Sửa ánh xạ/định dạng dữ liệu khi HIS xuất XML; bắt buộc nhập trường còn thiếu</t>
        </is>
      </c>
      <c r="O69" s="10" t="n"/>
      <c r="P69" s="17" t="n">
        <v>62</v>
      </c>
    </row>
    <row r="70">
      <c r="A70" s="10" t="n">
        <v>66</v>
      </c>
      <c r="B70" s="10" t="inlineStr">
        <is>
          <t>XMLComplete_DVKT_THIEU_VAT_PHAM_KEM</t>
        </is>
      </c>
      <c r="C70" s="10" t="inlineStr">
        <is>
          <t>XMLComplete</t>
        </is>
      </c>
      <c r="D70" s="10" t="inlineStr">
        <is>
          <t>DVKT bắt buộc kèm vật phẩm nhưng không có vật phẩm</t>
        </is>
      </c>
      <c r="E70" s="10" t="inlineStr">
        <is>
          <t>Không</t>
        </is>
      </c>
      <c r="F70" s="10" t="inlineStr">
        <is>
          <t>Có</t>
        </is>
      </c>
      <c r="G70" s="12" t="n">
        <v>65</v>
      </c>
      <c r="H70" s="14">
        <f>G70/68213</f>
        <v/>
      </c>
      <c r="I70" s="10" t="inlineStr">
        <is>
          <t>18.0219.0041 Chụp cắt lớp vi tính tầng trên ổ bụng thường quy (gồm: chụp Cắt lớp vi tính gan - mật, tụy, lách, dạ dày - tá tràng.v.v.) (từ 1-32 dãy) (PACS) BHYT trả 522.960đ, YL 09/10/2026: hồ sơ không có vật phẩm đi kèm (cần một trong: Xenetix 300, Omnipaq…</t>
        </is>
      </c>
      <c r="J70" s="10" t="inlineStr">
        <is>
          <t>Nghiệp vụ</t>
        </is>
      </c>
      <c r="K70" s="10" t="inlineStr">
        <is>
          <t>Nghiệp vụ – Quy định BHYT</t>
        </is>
      </c>
      <c r="L70" s="10" t="inlineStr">
        <is>
          <t>Phòng BHYT</t>
        </is>
      </c>
      <c r="M70" s="10" t="inlineStr">
        <is>
          <t>Khoa lâm sàng; CNTT</t>
        </is>
      </c>
      <c r="N70" s="10" t="inlineStr">
        <is>
          <t>Khai thuốc/VTYT kèm đúng DVKT mẹ (MA_DICH_VU, GOI_VTYT) theo danh mục vật phẩm kèm DVKT; rà soát danh mục ở màn quản trị "Vật phẩm kèm DVKT"</t>
        </is>
      </c>
      <c r="O70" s="10" t="n"/>
      <c r="P70" s="17" t="n"/>
    </row>
    <row r="71">
      <c r="A71" s="10" t="n">
        <v>67</v>
      </c>
      <c r="B71" s="10" t="inlineStr">
        <is>
          <t>XML3_INFO_ERROR_TYLE_TT_DV</t>
        </is>
      </c>
      <c r="C71" s="10" t="inlineStr">
        <is>
          <t>XML3</t>
        </is>
      </c>
      <c r="D71" s="10" t="inlineStr">
        <is>
          <t>Tỷ lệ TT DV không nằm trong khoảng cho phép</t>
        </is>
      </c>
      <c r="E71" s="10" t="inlineStr">
        <is>
          <t>Có</t>
        </is>
      </c>
      <c r="F71" s="10" t="inlineStr">
        <is>
          <t>Có</t>
        </is>
      </c>
      <c r="G71" s="12" t="n">
        <v>60</v>
      </c>
      <c r="H71" s="14">
        <f>G71/68213</f>
        <v/>
      </c>
      <c r="I71" s="10" t="inlineStr">
        <is>
          <t>Tỷ lệ TT DV của dịch vụ: Đo khúc xạ máy; không nằm trong khoảng 0-100: 606</t>
        </is>
      </c>
      <c r="J71" s="10" t="inlineStr">
        <is>
          <t>Kỹ thuật</t>
        </is>
      </c>
      <c r="K71" s="10" t="inlineStr">
        <is>
          <t>Kỹ thuật – HIS</t>
        </is>
      </c>
      <c r="L71" s="10" t="inlineStr">
        <is>
          <t>CNTT</t>
        </is>
      </c>
      <c r="M71" s="10" t="inlineStr">
        <is>
          <t>Phòng TCKT; Phòng BHYT</t>
        </is>
      </c>
      <c r="N71" s="10" t="inlineStr">
        <is>
          <t>Sửa công thức tính tiền/tỷ lệ/nguồn chi trả trên HIS</t>
        </is>
      </c>
      <c r="O71" s="10" t="n"/>
      <c r="P71" s="17" t="n">
        <v>48</v>
      </c>
    </row>
    <row r="72">
      <c r="A72" s="10" t="n">
        <v>68</v>
      </c>
      <c r="B72" s="10" t="inlineStr">
        <is>
          <t>XML3_MISSING_MATERIAL_CODE</t>
        </is>
      </c>
      <c r="C72" s="10" t="inlineStr">
        <is>
          <t>XML3</t>
        </is>
      </c>
      <c r="D72" s="10" t="inlineStr">
        <is>
          <t>Mã vật tư rỗng</t>
        </is>
      </c>
      <c r="E72" s="10" t="inlineStr">
        <is>
          <t>Có</t>
        </is>
      </c>
      <c r="F72" s="10" t="inlineStr">
        <is>
          <t>Có</t>
        </is>
      </c>
      <c r="G72" s="12" t="n">
        <v>58</v>
      </c>
      <c r="H72" s="14">
        <f>G72/68213</f>
        <v/>
      </c>
      <c r="I72" s="10" t="inlineStr">
        <is>
          <t>Không được để trống trường mã vật tư. Ngày y lệnh: 31/08/2026 17:57</t>
        </is>
      </c>
      <c r="J72" s="10" t="inlineStr">
        <is>
          <t>Kỹ thuật</t>
        </is>
      </c>
      <c r="K72" s="10" t="inlineStr">
        <is>
          <t>Kỹ thuật – HIS</t>
        </is>
      </c>
      <c r="L72" s="10" t="inlineStr">
        <is>
          <t>CNTT</t>
        </is>
      </c>
      <c r="M72" s="10" t="inlineStr">
        <is>
          <t>Phòng KHTH; Khoa Dược</t>
        </is>
      </c>
      <c r="N72" s="10" t="inlineStr">
        <is>
          <t>Sửa ánh xạ/định dạng dữ liệu khi HIS xuất XML; bắt buộc nhập trường còn thiếu</t>
        </is>
      </c>
      <c r="O72" s="10" t="inlineStr">
        <is>
          <t>#26</t>
        </is>
      </c>
      <c r="P72" s="17" t="n">
        <v>49</v>
      </c>
    </row>
    <row r="73">
      <c r="A73" s="10" t="n">
        <v>69</v>
      </c>
      <c r="B73" s="10" t="inlineStr">
        <is>
          <t>XML3_MISSING_MATERIAL_NAME</t>
        </is>
      </c>
      <c r="C73" s="10" t="inlineStr">
        <is>
          <t>XML3</t>
        </is>
      </c>
      <c r="D73" s="10" t="inlineStr">
        <is>
          <t>Tên vật tư rỗng</t>
        </is>
      </c>
      <c r="E73" s="10" t="inlineStr">
        <is>
          <t>Có</t>
        </is>
      </c>
      <c r="F73" s="10" t="inlineStr">
        <is>
          <t>Có</t>
        </is>
      </c>
      <c r="G73" s="12" t="n">
        <v>58</v>
      </c>
      <c r="H73" s="14">
        <f>G73/68213</f>
        <v/>
      </c>
      <c r="I73" s="10" t="inlineStr">
        <is>
          <t>Không được để trống trường tên vật tư. Ngày y lệnh: 31/08/2026 17:57</t>
        </is>
      </c>
      <c r="J73" s="10" t="inlineStr">
        <is>
          <t>Kỹ thuật</t>
        </is>
      </c>
      <c r="K73" s="10" t="inlineStr">
        <is>
          <t>Kỹ thuật – HIS</t>
        </is>
      </c>
      <c r="L73" s="10" t="inlineStr">
        <is>
          <t>CNTT</t>
        </is>
      </c>
      <c r="M73" s="10" t="inlineStr">
        <is>
          <t>Phòng KHTH; Khoa Dược</t>
        </is>
      </c>
      <c r="N73" s="10" t="inlineStr">
        <is>
          <t>Sửa ánh xạ/định dạng dữ liệu khi HIS xuất XML; bắt buộc nhập trường còn thiếu</t>
        </is>
      </c>
      <c r="O73" s="10" t="inlineStr">
        <is>
          <t>#26</t>
        </is>
      </c>
      <c r="P73" s="17" t="n">
        <v>49</v>
      </c>
    </row>
    <row r="74">
      <c r="A74" s="10" t="n">
        <v>70</v>
      </c>
      <c r="B74" s="10" t="inlineStr">
        <is>
          <t>XMLComplete_INVALID_EXPENSE_T_VTYT</t>
        </is>
      </c>
      <c r="C74" s="10" t="inlineStr">
        <is>
          <t>XMLComplete</t>
        </is>
      </c>
      <c r="D74" s="10" t="inlineStr">
        <is>
          <t>Tiền vật tư y tế không khớp</t>
        </is>
      </c>
      <c r="E74" s="10" t="inlineStr">
        <is>
          <t>Có</t>
        </is>
      </c>
      <c r="F74" s="10" t="inlineStr">
        <is>
          <t>Có</t>
        </is>
      </c>
      <c r="G74" s="12" t="n">
        <v>58</v>
      </c>
      <c r="H74" s="14">
        <f>G74/68213</f>
        <v/>
      </c>
      <c r="I74" s="10" t="inlineStr">
        <is>
          <t>Tiền VTYT trong XML1: 8,593 &lt;&gt; tổng tiền VTYT trong XML3: 70,593</t>
        </is>
      </c>
      <c r="J74" s="10" t="inlineStr">
        <is>
          <t>Kỹ thuật</t>
        </is>
      </c>
      <c r="K74" s="10" t="inlineStr">
        <is>
          <t>Kỹ thuật – HIS</t>
        </is>
      </c>
      <c r="L74" s="10" t="inlineStr">
        <is>
          <t>CNTT</t>
        </is>
      </c>
      <c r="M74" s="10" t="inlineStr">
        <is>
          <t>Phòng TCKT; Phòng BHYT</t>
        </is>
      </c>
      <c r="N74" s="10" t="inlineStr">
        <is>
          <t>Sửa công thức tính tiền/tỷ lệ/nguồn chi trả trên HIS</t>
        </is>
      </c>
      <c r="O74" s="10" t="n"/>
      <c r="P74" s="17" t="n">
        <v>12</v>
      </c>
    </row>
    <row r="75">
      <c r="A75" s="10" t="n">
        <v>71</v>
      </c>
      <c r="B75" s="10" t="inlineStr">
        <is>
          <t>XML11_INFO_ERROR_MA_THE_BHYT</t>
        </is>
      </c>
      <c r="C75" s="10" t="inlineStr">
        <is>
          <t>XML11</t>
        </is>
      </c>
      <c r="D75" s="10" t="inlineStr">
        <is>
          <t>Thiếu mã thẻ BHYT</t>
        </is>
      </c>
      <c r="E75" s="10" t="inlineStr">
        <is>
          <t>Có</t>
        </is>
      </c>
      <c r="F75" s="10" t="inlineStr">
        <is>
          <t>Có</t>
        </is>
      </c>
      <c r="G75" s="12" t="n">
        <v>49</v>
      </c>
      <c r="H75" s="14">
        <f>G75/68213</f>
        <v/>
      </c>
      <c r="I75" s="10" t="inlineStr">
        <is>
          <t>Mã thẻ BHYT không được để trống</t>
        </is>
      </c>
      <c r="J75" s="10" t="inlineStr">
        <is>
          <t>Nghiệp vụ</t>
        </is>
      </c>
      <c r="K75" s="10" t="inlineStr">
        <is>
          <t>Nghiệp vụ – Quy định BHYT</t>
        </is>
      </c>
      <c r="L75" s="10" t="inlineStr">
        <is>
          <t>Phòng BHYT</t>
        </is>
      </c>
      <c r="M75" s="10" t="inlineStr">
        <is>
          <t>Tiếp đón; CNTT</t>
        </is>
      </c>
      <c r="N75" s="10" t="inlineStr">
        <is>
          <t>Tiếp đón khai đúng mã đối tượng, giấy chuyển tuyến/hẹn, mức hưởng theo thẻ; HIS chặn khi thiếu</t>
        </is>
      </c>
      <c r="O75" s="10" t="n"/>
      <c r="P75" s="17" t="n">
        <v>49</v>
      </c>
    </row>
    <row r="76">
      <c r="A76" s="10" t="n">
        <v>72</v>
      </c>
      <c r="B76" s="10" t="inlineStr">
        <is>
          <t>XMLComplete_INVALID_BED_DAYS</t>
        </is>
      </c>
      <c r="C76" s="10" t="inlineStr">
        <is>
          <t>XMLComplete</t>
        </is>
      </c>
      <c r="D76" s="10" t="inlineStr">
        <is>
          <t>Thanh toán ngày giường sai quy định (trừ trường hợp đặc biệt)</t>
        </is>
      </c>
      <c r="E76" s="10" t="inlineStr">
        <is>
          <t>Không</t>
        </is>
      </c>
      <c r="F76" s="10" t="inlineStr">
        <is>
          <t>Có</t>
        </is>
      </c>
      <c r="G76" s="12" t="n">
        <v>44</v>
      </c>
      <c r="H76" s="14">
        <f>G76/68213</f>
        <v/>
      </c>
      <c r="I76" s="10" t="inlineStr">
        <is>
          <t>Tổng ngày giường khai 9.5 lớn hơn số ngày giường đúng theo TT39 9, thừa 0.5.</t>
        </is>
      </c>
      <c r="J76" s="10" t="inlineStr">
        <is>
          <t>Nghiệp vụ</t>
        </is>
      </c>
      <c r="K76" s="10" t="inlineStr">
        <is>
          <t>Nghiệp vụ – Quy định BHYT</t>
        </is>
      </c>
      <c r="L76" s="10" t="inlineStr">
        <is>
          <t>Phòng BHYT</t>
        </is>
      </c>
      <c r="M76" s="10" t="inlineStr">
        <is>
          <t>Khoa lâm sàng; CNTT</t>
        </is>
      </c>
      <c r="N76" s="10" t="inlineStr">
        <is>
          <t>Rà soát chỉ định ngày giường, công khám, khoa chỉ định đúng quy định BHYT</t>
        </is>
      </c>
      <c r="O76" s="10" t="n"/>
      <c r="P76" s="17" t="n">
        <v>37</v>
      </c>
    </row>
    <row r="77">
      <c r="A77" s="10" t="n">
        <v>73</v>
      </c>
      <c r="B77" s="10" t="inlineStr">
        <is>
          <t>XML3_INVALID_TT_THAU_FORMAT</t>
        </is>
      </c>
      <c r="C77" s="10" t="inlineStr">
        <is>
          <t>XML3</t>
        </is>
      </c>
      <c r="D77" s="10" t="inlineStr">
        <is>
          <t>Thông tin thầu không đúng định dạng</t>
        </is>
      </c>
      <c r="E77" s="10" t="inlineStr">
        <is>
          <t>Có</t>
        </is>
      </c>
      <c r="F77" s="10" t="inlineStr">
        <is>
          <t>Có</t>
        </is>
      </c>
      <c r="G77" s="12" t="n">
        <v>40</v>
      </c>
      <c r="H77" s="14">
        <f>G77/68213</f>
        <v/>
      </c>
      <c r="I77" s="10" t="inlineStr">
        <is>
          <t>Mã vật tư: N08.00.010.3330.213.0004; có TT_THAU không đúng định dạng: 866/QĐ-BM;;N0;2026</t>
        </is>
      </c>
      <c r="J77" s="10" t="inlineStr">
        <is>
          <t>Nghiệp vụ</t>
        </is>
      </c>
      <c r="K77" s="10" t="inlineStr">
        <is>
          <t>Nghiệp vụ – Danh mục</t>
        </is>
      </c>
      <c r="L77" s="10" t="inlineStr">
        <is>
          <t>Phòng VT-TBYT</t>
        </is>
      </c>
      <c r="M77" s="10" t="inlineStr">
        <is>
          <t>Phòng BHYT; CNTT</t>
        </is>
      </c>
      <c r="N77" s="10" t="inlineStr">
        <is>
          <t>Đối chiếu danh mục VTYT trên HIS với danh mục được duyệt theo thầu</t>
        </is>
      </c>
      <c r="O77" s="10" t="n"/>
      <c r="P77" s="17" t="n">
        <v>24</v>
      </c>
    </row>
    <row r="78">
      <c r="A78" s="10" t="n">
        <v>74</v>
      </c>
      <c r="B78" s="10" t="inlineStr">
        <is>
          <t>XML1_ADMIN_INFO_ERROR_TO_MUCH_CAN_NANG</t>
        </is>
      </c>
      <c r="C78" s="10" t="inlineStr">
        <is>
          <t>XML1</t>
        </is>
      </c>
      <c r="D78" s="10" t="inlineStr">
        <is>
          <t>Cân nặng không hợp lệ</t>
        </is>
      </c>
      <c r="E78" s="10" t="inlineStr">
        <is>
          <t>Không</t>
        </is>
      </c>
      <c r="F78" s="10" t="inlineStr">
        <is>
          <t>Có</t>
        </is>
      </c>
      <c r="G78" s="12" t="n">
        <v>37</v>
      </c>
      <c r="H78" s="14">
        <f>G78/68213</f>
        <v/>
      </c>
      <c r="I78" s="10" t="inlineStr">
        <is>
          <t>Cân nặng không hợp lệ: 850</t>
        </is>
      </c>
      <c r="J78" s="10" t="inlineStr">
        <is>
          <t>Nghiệp vụ</t>
        </is>
      </c>
      <c r="K78" s="10" t="inlineStr">
        <is>
          <t>Nghiệp vụ – Hành chính, tiếp đón</t>
        </is>
      </c>
      <c r="L78" s="10" t="inlineStr">
        <is>
          <t>Tiếp đón</t>
        </is>
      </c>
      <c r="M78" s="10" t="inlineStr">
        <is>
          <t>CNTT</t>
        </is>
      </c>
      <c r="N78" s="10" t="inlineStr">
        <is>
          <t>Tiếp đón nhập đủ thông tin hành chính; HIS bắt buộc trường bắt buộc</t>
        </is>
      </c>
      <c r="O78" s="10" t="inlineStr">
        <is>
          <t>#10</t>
        </is>
      </c>
      <c r="P78" s="17" t="n">
        <v>35</v>
      </c>
    </row>
    <row r="79">
      <c r="A79" s="10" t="n">
        <v>75</v>
      </c>
      <c r="B79" s="10" t="inlineStr">
        <is>
          <t>XML11_INFO_ERROR_PP_DIEUTRI</t>
        </is>
      </c>
      <c r="C79" s="10" t="inlineStr">
        <is>
          <t>XML11</t>
        </is>
      </c>
      <c r="D79" s="10" t="inlineStr">
        <is>
          <t>Thiếu phương pháp điều trị</t>
        </is>
      </c>
      <c r="E79" s="10" t="inlineStr">
        <is>
          <t>Có</t>
        </is>
      </c>
      <c r="F79" s="10" t="inlineStr">
        <is>
          <t>Có</t>
        </is>
      </c>
      <c r="G79" s="12" t="n">
        <v>30</v>
      </c>
      <c r="H79" s="14">
        <f>G79/68213</f>
        <v/>
      </c>
      <c r="I79" s="10" t="inlineStr">
        <is>
          <t>Phương pháp điều trị không được để trống</t>
        </is>
      </c>
      <c r="J79" s="10" t="inlineStr">
        <is>
          <t>Nghiệp vụ</t>
        </is>
      </c>
      <c r="K79" s="10" t="inlineStr">
        <is>
          <t>Nghiệp vụ – Chuyên môn lâm sàng</t>
        </is>
      </c>
      <c r="L79" s="10" t="inlineStr">
        <is>
          <t>Khoa lâm sàng</t>
        </is>
      </c>
      <c r="M79" s="10" t="inlineStr">
        <is>
          <t>Phòng KHTH</t>
        </is>
      </c>
      <c r="N79" s="10" t="inlineStr">
        <is>
          <t>Bác sĩ nhập đủ, đúng nội dung chuyên môn trên HIS; Phòng KHTH kiểm tra</t>
        </is>
      </c>
      <c r="O79" s="10" t="inlineStr">
        <is>
          <t>#52</t>
        </is>
      </c>
      <c r="P79" s="17" t="n">
        <v>24</v>
      </c>
    </row>
    <row r="80">
      <c r="A80" s="10" t="n">
        <v>76</v>
      </c>
      <c r="B80" s="10" t="inlineStr">
        <is>
          <t>XML1_ADMIN_INFO_ERROR_MA_NOI_DI_NOT_FOUND</t>
        </is>
      </c>
      <c r="C80" s="10" t="inlineStr">
        <is>
          <t>XML1</t>
        </is>
      </c>
      <c r="D80" s="10" t="inlineStr">
        <is>
          <t>Mã nơi đi không có trong danh mục</t>
        </is>
      </c>
      <c r="E80" s="10" t="inlineStr">
        <is>
          <t>Có</t>
        </is>
      </c>
      <c r="F80" s="10" t="inlineStr">
        <is>
          <t>Có</t>
        </is>
      </c>
      <c r="G80" s="12" t="n">
        <v>23</v>
      </c>
      <c r="H80" s="14">
        <f>G80/68213</f>
        <v/>
      </c>
      <c r="I80" s="10" t="inlineStr">
        <is>
          <t>Mã nơi đi: 79472 không có trong danh mục CSKCB</t>
        </is>
      </c>
      <c r="J80" s="10" t="inlineStr">
        <is>
          <t>Nghiệp vụ</t>
        </is>
      </c>
      <c r="K80" s="10" t="inlineStr">
        <is>
          <t>Nghiệp vụ – Hành chính, tiếp đón</t>
        </is>
      </c>
      <c r="L80" s="10" t="inlineStr">
        <is>
          <t>Tiếp đón</t>
        </is>
      </c>
      <c r="M80" s="10" t="inlineStr">
        <is>
          <t>Phòng BHYT</t>
        </is>
      </c>
      <c r="N80" s="10" t="inlineStr">
        <is>
          <t>Nhập đúng mã cơ sở KCB nơi đi/đến/ĐKBĐ (có mã gõ sai như 38230b)</t>
        </is>
      </c>
      <c r="O80" s="10" t="n"/>
      <c r="P80" s="17" t="n">
        <v>19</v>
      </c>
    </row>
    <row r="81">
      <c r="A81" s="10" t="n">
        <v>77</v>
      </c>
      <c r="B81" s="10" t="inlineStr">
        <is>
          <t>XML8_INFO_ERROR_TOMTAT_KQ</t>
        </is>
      </c>
      <c r="C81" s="10" t="inlineStr">
        <is>
          <t>XML8</t>
        </is>
      </c>
      <c r="D81" s="10" t="inlineStr">
        <is>
          <t>Thiếu tóm tắt kết quả</t>
        </is>
      </c>
      <c r="E81" s="10" t="inlineStr">
        <is>
          <t>Có</t>
        </is>
      </c>
      <c r="F81" s="10" t="inlineStr">
        <is>
          <t>Có</t>
        </is>
      </c>
      <c r="G81" s="12" t="n">
        <v>21</v>
      </c>
      <c r="H81" s="14">
        <f>G81/68213</f>
        <v/>
      </c>
      <c r="I81" s="10" t="inlineStr">
        <is>
          <t>Tóm tắt kết quả không được để trống</t>
        </is>
      </c>
      <c r="J81" s="10" t="inlineStr">
        <is>
          <t>Nghiệp vụ</t>
        </is>
      </c>
      <c r="K81" s="10" t="inlineStr">
        <is>
          <t>Nghiệp vụ – Chuyên môn lâm sàng</t>
        </is>
      </c>
      <c r="L81" s="10" t="inlineStr">
        <is>
          <t>Khoa lâm sàng</t>
        </is>
      </c>
      <c r="M81" s="10" t="inlineStr">
        <is>
          <t>Phòng KHTH</t>
        </is>
      </c>
      <c r="N81" s="10" t="inlineStr">
        <is>
          <t>Bác sĩ nhập đủ, đúng nội dung chuyên môn trên HIS; Phòng KHTH kiểm tra</t>
        </is>
      </c>
      <c r="O81" s="10" t="inlineStr">
        <is>
          <t>#47</t>
        </is>
      </c>
      <c r="P81" s="17" t="n">
        <v>20</v>
      </c>
    </row>
    <row r="82">
      <c r="A82" s="10" t="n">
        <v>78</v>
      </c>
      <c r="B82" s="10" t="inlineStr">
        <is>
          <t>XML2_LIEU_DUNG_INVALID_FORMAT</t>
        </is>
      </c>
      <c r="C82" s="10" t="inlineStr">
        <is>
          <t>XML2</t>
        </is>
      </c>
      <c r="D82" s="10" t="inlineStr">
        <is>
          <t>Liều dùng không đúng định dạng 130</t>
        </is>
      </c>
      <c r="E82" s="10" t="inlineStr">
        <is>
          <t>Có</t>
        </is>
      </c>
      <c r="F82" s="10" t="inlineStr">
        <is>
          <t>Có</t>
        </is>
      </c>
      <c r="G82" s="12" t="n">
        <v>17</v>
      </c>
      <c r="H82" s="14">
        <f>G82/68213</f>
        <v/>
      </c>
      <c r="I82" s="10" t="inlineStr">
        <is>
          <t>Liều dùng "Đặt hậu môn khi đau nhiều * 1 ngày [1,0 Viên/ngày]" của thuốc Voltaren không đúng định dạng 130 (SL/lần * số lần/ngày * số ngày)</t>
        </is>
      </c>
      <c r="J82" s="10" t="inlineStr">
        <is>
          <t>Kỹ thuật</t>
        </is>
      </c>
      <c r="K82" s="10" t="inlineStr">
        <is>
          <t>Kỹ thuật – HIS</t>
        </is>
      </c>
      <c r="L82" s="10" t="inlineStr">
        <is>
          <t>CNTT</t>
        </is>
      </c>
      <c r="M82" s="10" t="inlineStr">
        <is>
          <t>Phòng KHTH; Khoa Dược</t>
        </is>
      </c>
      <c r="N82" s="10" t="inlineStr">
        <is>
          <t>Sửa ánh xạ/định dạng dữ liệu khi HIS xuất XML; bắt buộc nhập trường còn thiếu</t>
        </is>
      </c>
      <c r="O82" s="10" t="n"/>
      <c r="P82" s="17" t="n">
        <v>16</v>
      </c>
    </row>
    <row r="83">
      <c r="A83" s="10" t="n">
        <v>79</v>
      </c>
      <c r="B83" s="10" t="inlineStr">
        <is>
          <t>XMLComplete_THUOC_KHONG_CO_DVKT_ME</t>
        </is>
      </c>
      <c r="C83" s="10" t="inlineStr">
        <is>
          <t>XMLComplete</t>
        </is>
      </c>
      <c r="D83" s="10" t="inlineStr">
        <is>
          <t>Thuốc thanh toán ngoài giá không có DVKT mẹ được BHYT thanh toán</t>
        </is>
      </c>
      <c r="E83" s="10" t="inlineStr">
        <is>
          <t>Có</t>
        </is>
      </c>
      <c r="F83" s="10" t="inlineStr">
        <is>
          <t>Có</t>
        </is>
      </c>
      <c r="G83" s="12" t="n">
        <v>15</v>
      </c>
      <c r="H83" s="14">
        <f>G83/68213</f>
        <v/>
      </c>
      <c r="I83" s="10" t="inlineStr">
        <is>
          <t>Omnipaque (40.644) BHYT trả 353.609đ, YL 05/10/2026: không có DVKT mẹ trong hồ sơ. Cần một trong: 18.0150.0041 Chụp CLVT sọ não có tiêm thuốc cản quang (từ 1-32 dãy) [không in phim]; 18.0156.0041 Chụp CLVT hàm - mặt có tiêm thuốc cản quang (từ 1-32 dãy) [kh…</t>
        </is>
      </c>
      <c r="J83" s="10" t="inlineStr">
        <is>
          <t>Nghiệp vụ</t>
        </is>
      </c>
      <c r="K83" s="10" t="inlineStr">
        <is>
          <t>Nghiệp vụ – Quy định BHYT</t>
        </is>
      </c>
      <c r="L83" s="10" t="inlineStr">
        <is>
          <t>Phòng BHYT</t>
        </is>
      </c>
      <c r="M83" s="10" t="inlineStr">
        <is>
          <t>Khoa lâm sàng; CNTT</t>
        </is>
      </c>
      <c r="N83" s="10" t="inlineStr">
        <is>
          <t>Khai thuốc/VTYT kèm đúng DVKT mẹ (MA_DICH_VU, GOI_VTYT) theo danh mục vật phẩm kèm DVKT; rà soát danh mục ở màn quản trị "Vật phẩm kèm DVKT"</t>
        </is>
      </c>
      <c r="O83" s="10" t="n"/>
      <c r="P83" s="17" t="n"/>
    </row>
    <row r="84">
      <c r="A84" s="10" t="n">
        <v>80</v>
      </c>
      <c r="B84" s="10" t="inlineStr">
        <is>
          <t>XML1_DOI_TUONG_KCB_THIEU_GIAY_CHUYEN_TUYEN</t>
        </is>
      </c>
      <c r="C84" s="10" t="inlineStr">
        <is>
          <t>XML1</t>
        </is>
      </c>
      <c r="D84" s="10" t="inlineStr">
        <is>
          <t>Thiếu số phiếu chuyển cơ sở KCB hoặc số phiếu hẹn khám lại</t>
        </is>
      </c>
      <c r="E84" s="10" t="inlineStr">
        <is>
          <t>Có</t>
        </is>
      </c>
      <c r="F84" s="10" t="inlineStr">
        <is>
          <t>Có</t>
        </is>
      </c>
      <c r="G84" s="12" t="n">
        <v>14</v>
      </c>
      <c r="H84" s="14">
        <f>G84/68213</f>
        <v/>
      </c>
      <c r="I84" s="10" t="inlineStr">
        <is>
          <t>Mã đối tượng 1.5 (Đến KCB theo phiếu hẹn khám lại) nhưng GIAY_CHUYEN_TUYEN để trống</t>
        </is>
      </c>
      <c r="J84" s="10" t="inlineStr">
        <is>
          <t>Nghiệp vụ</t>
        </is>
      </c>
      <c r="K84" s="10" t="inlineStr">
        <is>
          <t>Nghiệp vụ – Quy định BHYT</t>
        </is>
      </c>
      <c r="L84" s="10" t="inlineStr">
        <is>
          <t>Phòng BHYT</t>
        </is>
      </c>
      <c r="M84" s="10" t="inlineStr">
        <is>
          <t>Tiếp đón; CNTT</t>
        </is>
      </c>
      <c r="N84" s="10" t="inlineStr">
        <is>
          <t>Tiếp đón khai đúng mã đối tượng, giấy chuyển tuyến/hẹn, mức hưởng theo thẻ; HIS chặn khi thiếu</t>
        </is>
      </c>
      <c r="O84" s="10" t="inlineStr">
        <is>
          <t>#17</t>
        </is>
      </c>
      <c r="P84" s="17" t="n">
        <v>12</v>
      </c>
    </row>
    <row r="85">
      <c r="A85" s="10" t="n">
        <v>81</v>
      </c>
      <c r="B85" s="10" t="inlineStr">
        <is>
          <t>XML2_MISSING_DRUG_NAME</t>
        </is>
      </c>
      <c r="C85" s="10" t="inlineStr">
        <is>
          <t>XML2</t>
        </is>
      </c>
      <c r="D85" s="10" t="inlineStr">
        <is>
          <t>Không có tên thuốc</t>
        </is>
      </c>
      <c r="E85" s="10" t="inlineStr">
        <is>
          <t>Có</t>
        </is>
      </c>
      <c r="F85" s="10" t="inlineStr">
        <is>
          <t>Có</t>
        </is>
      </c>
      <c r="G85" s="12" t="n">
        <v>14</v>
      </c>
      <c r="H85" s="14">
        <f>G85/68213</f>
        <v/>
      </c>
      <c r="I85" s="10" t="inlineStr">
        <is>
          <t>00.0000; Không có tên thuốc</t>
        </is>
      </c>
      <c r="J85" s="10" t="inlineStr">
        <is>
          <t>Kỹ thuật</t>
        </is>
      </c>
      <c r="K85" s="10" t="inlineStr">
        <is>
          <t>Kỹ thuật – HIS</t>
        </is>
      </c>
      <c r="L85" s="10" t="inlineStr">
        <is>
          <t>CNTT</t>
        </is>
      </c>
      <c r="M85" s="10" t="inlineStr">
        <is>
          <t>Phòng KHTH; Khoa Dược</t>
        </is>
      </c>
      <c r="N85" s="10" t="inlineStr">
        <is>
          <t>Sửa ánh xạ/định dạng dữ liệu khi HIS xuất XML; bắt buộc nhập trường còn thiếu</t>
        </is>
      </c>
      <c r="O85" s="10" t="inlineStr">
        <is>
          <t>#18</t>
        </is>
      </c>
      <c r="P85" s="17" t="n">
        <v>9</v>
      </c>
    </row>
    <row r="86">
      <c r="A86" s="10" t="n">
        <v>82</v>
      </c>
      <c r="B86" s="10" t="inlineStr">
        <is>
          <t>XML1_ADMIN_INFO_ERROR_MAXA_CU_TRU_NOT_FOUND</t>
        </is>
      </c>
      <c r="C86" s="10" t="inlineStr">
        <is>
          <t>XML1</t>
        </is>
      </c>
      <c r="D86" s="10" t="inlineStr">
        <is>
          <t>Mã phường xã không tồn tại</t>
        </is>
      </c>
      <c r="E86" s="10" t="inlineStr">
        <is>
          <t>Có</t>
        </is>
      </c>
      <c r="F86" s="10" t="inlineStr">
        <is>
          <t>Có</t>
        </is>
      </c>
      <c r="G86" s="12" t="n">
        <v>13</v>
      </c>
      <c r="H86" s="14">
        <f>G86/68213</f>
        <v/>
      </c>
      <c r="I86" s="10" t="inlineStr">
        <is>
          <t>Mã phường xã không tồn tại trong danh mục: 14032</t>
        </is>
      </c>
      <c r="J86" s="10" t="inlineStr">
        <is>
          <t>Kỹ thuật</t>
        </is>
      </c>
      <c r="K86" s="10" t="inlineStr">
        <is>
          <t>Kỹ thuật – HIS</t>
        </is>
      </c>
      <c r="L86" s="10" t="inlineStr">
        <is>
          <t>CNTT</t>
        </is>
      </c>
      <c r="M86" s="10" t="inlineStr">
        <is>
          <t>Tiếp đón</t>
        </is>
      </c>
      <c r="N86" s="10" t="inlineStr">
        <is>
          <t>Cập nhật danh mục hành chính 2 cấp và danh mục nghề nghiệp trên HIS; khoá mã cũ</t>
        </is>
      </c>
      <c r="O86" s="10" t="n"/>
      <c r="P86" s="17" t="n">
        <v>11</v>
      </c>
    </row>
    <row r="87">
      <c r="A87" s="10" t="n">
        <v>83</v>
      </c>
      <c r="B87" s="10" t="inlineStr">
        <is>
          <t>XML9_INFO_ERROR_MA_BHXH_NND</t>
        </is>
      </c>
      <c r="C87" s="10" t="inlineStr">
        <is>
          <t>XML9</t>
        </is>
      </c>
      <c r="D87" s="10" t="inlineStr">
        <is>
          <t>Thiếu mã BHXH Người nuôi dưỡng</t>
        </is>
      </c>
      <c r="E87" s="10" t="inlineStr">
        <is>
          <t>Có</t>
        </is>
      </c>
      <c r="F87" s="10" t="inlineStr">
        <is>
          <t>Có</t>
        </is>
      </c>
      <c r="G87" s="12" t="n">
        <v>13</v>
      </c>
      <c r="H87" s="14">
        <f>G87/68213</f>
        <v/>
      </c>
      <c r="I87" s="10" t="inlineStr">
        <is>
          <t>Mã BHXH người nuôi dưỡng không được để trống</t>
        </is>
      </c>
      <c r="J87" s="10" t="inlineStr">
        <is>
          <t>Nghiệp vụ</t>
        </is>
      </c>
      <c r="K87" s="10" t="inlineStr">
        <is>
          <t>Nghiệp vụ – Quy định BHYT</t>
        </is>
      </c>
      <c r="L87" s="10" t="inlineStr">
        <is>
          <t>Phòng BHYT</t>
        </is>
      </c>
      <c r="M87" s="10" t="inlineStr">
        <is>
          <t>Tiếp đón; CNTT</t>
        </is>
      </c>
      <c r="N87" s="10" t="inlineStr">
        <is>
          <t>Tiếp đón khai đúng mã đối tượng, giấy chuyển tuyến/hẹn, mức hưởng theo thẻ; HIS chặn khi thiếu</t>
        </is>
      </c>
      <c r="O87" s="10" t="n"/>
      <c r="P87" s="17" t="n">
        <v>11</v>
      </c>
    </row>
    <row r="88">
      <c r="A88" s="10" t="n">
        <v>84</v>
      </c>
      <c r="B88" s="10" t="inlineStr">
        <is>
          <t>XML1_ADMIN_INFO_ERROR_MA_NGHE_NGHIEP</t>
        </is>
      </c>
      <c r="C88" s="10" t="inlineStr">
        <is>
          <t>XML1</t>
        </is>
      </c>
      <c r="D88" s="10" t="inlineStr">
        <is>
          <t>Thiếu mã nghề nghiệp</t>
        </is>
      </c>
      <c r="E88" s="10" t="inlineStr">
        <is>
          <t>Có</t>
        </is>
      </c>
      <c r="F88" s="10" t="inlineStr">
        <is>
          <t>Có</t>
        </is>
      </c>
      <c r="G88" s="12" t="n">
        <v>12</v>
      </c>
      <c r="H88" s="14">
        <f>G88/68213</f>
        <v/>
      </c>
      <c r="I88" s="10" t="inlineStr">
        <is>
          <t>Mã nghề nghiệp không được để trống</t>
        </is>
      </c>
      <c r="J88" s="10" t="inlineStr">
        <is>
          <t>Nghiệp vụ</t>
        </is>
      </c>
      <c r="K88" s="10" t="inlineStr">
        <is>
          <t>Nghiệp vụ – Hành chính, tiếp đón</t>
        </is>
      </c>
      <c r="L88" s="10" t="inlineStr">
        <is>
          <t>Tiếp đón</t>
        </is>
      </c>
      <c r="M88" s="10" t="inlineStr">
        <is>
          <t>CNTT</t>
        </is>
      </c>
      <c r="N88" s="10" t="inlineStr">
        <is>
          <t>Tiếp đón nhập đủ thông tin hành chính; HIS bắt buộc trường bắt buộc</t>
        </is>
      </c>
      <c r="O88" s="10" t="inlineStr">
        <is>
          <t>#8</t>
        </is>
      </c>
      <c r="P88" s="17" t="n">
        <v>12</v>
      </c>
    </row>
    <row r="89">
      <c r="A89" s="10" t="n">
        <v>85</v>
      </c>
      <c r="B89" s="10" t="inlineStr">
        <is>
          <t>XML2_PRESCRIPTION_EXCEEDS_30_DAYS</t>
        </is>
      </c>
      <c r="C89" s="10" t="inlineStr">
        <is>
          <t>XML2</t>
        </is>
      </c>
      <c r="D89" s="10" t="inlineStr">
        <is>
          <t>Kê thuốc quá số ngày cho phép</t>
        </is>
      </c>
      <c r="E89" s="10" t="inlineStr">
        <is>
          <t>Có</t>
        </is>
      </c>
      <c r="F89" s="10" t="inlineStr">
        <is>
          <t>Có</t>
        </is>
      </c>
      <c r="G89" s="12" t="n">
        <v>10</v>
      </c>
      <c r="H89" s="14">
        <f>G89/68213</f>
        <v/>
      </c>
      <c r="I89" s="10" t="inlineStr">
        <is>
          <t>Kê 91 ngày (&gt; 90). Thuốc: pms-Tenofovir</t>
        </is>
      </c>
      <c r="J89" s="10" t="inlineStr">
        <is>
          <t>Nghiệp vụ</t>
        </is>
      </c>
      <c r="K89" s="10" t="inlineStr">
        <is>
          <t>Nghiệp vụ – Chuyên môn lâm sàng</t>
        </is>
      </c>
      <c r="L89" s="10" t="inlineStr">
        <is>
          <t>Khoa lâm sàng</t>
        </is>
      </c>
      <c r="M89" s="10" t="inlineStr">
        <is>
          <t>Phòng KHTH</t>
        </is>
      </c>
      <c r="N89" s="10" t="inlineStr">
        <is>
          <t>Bác sĩ nhập đủ, đúng nội dung chuyên môn trên HIS; Phòng KHTH kiểm tra</t>
        </is>
      </c>
      <c r="O89" s="10" t="n"/>
      <c r="P89" s="17" t="n">
        <v>7</v>
      </c>
    </row>
    <row r="90">
      <c r="A90" s="10" t="n">
        <v>86</v>
      </c>
      <c r="B90" s="10" t="inlineStr">
        <is>
          <t>XML9_INFO_ERROR_MA_THE_NND</t>
        </is>
      </c>
      <c r="C90" s="10" t="inlineStr">
        <is>
          <t>XML9</t>
        </is>
      </c>
      <c r="D90" s="10" t="inlineStr">
        <is>
          <t>Thiếu mã thẻ BHYT Người nuôi dưỡng</t>
        </is>
      </c>
      <c r="E90" s="10" t="inlineStr">
        <is>
          <t>Có</t>
        </is>
      </c>
      <c r="F90" s="10" t="inlineStr">
        <is>
          <t>Có</t>
        </is>
      </c>
      <c r="G90" s="12" t="n">
        <v>9</v>
      </c>
      <c r="H90" s="14">
        <f>G90/68213</f>
        <v/>
      </c>
      <c r="I90" s="10" t="inlineStr">
        <is>
          <t>Mã thẻ BHYT Người nuôi dưỡng không được để trống</t>
        </is>
      </c>
      <c r="J90" s="10" t="inlineStr">
        <is>
          <t>Nghiệp vụ</t>
        </is>
      </c>
      <c r="K90" s="10" t="inlineStr">
        <is>
          <t>Nghiệp vụ – Quy định BHYT</t>
        </is>
      </c>
      <c r="L90" s="10" t="inlineStr">
        <is>
          <t>Phòng BHYT</t>
        </is>
      </c>
      <c r="M90" s="10" t="inlineStr">
        <is>
          <t>Tiếp đón; CNTT</t>
        </is>
      </c>
      <c r="N90" s="10" t="inlineStr">
        <is>
          <t>Tiếp đón khai đúng mã đối tượng, giấy chuyển tuyến/hẹn, mức hưởng theo thẻ; HIS chặn khi thiếu</t>
        </is>
      </c>
      <c r="O90" s="10" t="n"/>
      <c r="P90" s="17" t="n">
        <v>8</v>
      </c>
    </row>
    <row r="91">
      <c r="A91" s="10" t="n">
        <v>87</v>
      </c>
      <c r="B91" s="10" t="inlineStr">
        <is>
          <t>XML1_ADMIN_INFO_ERROR_GIAY_CHUYEN_TUYEN</t>
        </is>
      </c>
      <c r="C91" s="10" t="inlineStr">
        <is>
          <t>XML1</t>
        </is>
      </c>
      <c r="D91" s="10" t="inlineStr">
        <is>
          <t>Thiếu số giấy chuyển tuyến</t>
        </is>
      </c>
      <c r="E91" s="10" t="inlineStr">
        <is>
          <t>Không</t>
        </is>
      </c>
      <c r="F91" s="10" t="inlineStr">
        <is>
          <t>Có</t>
        </is>
      </c>
      <c r="G91" s="12" t="n">
        <v>8</v>
      </c>
      <c r="H91" s="14">
        <f>G91/68213</f>
        <v/>
      </c>
      <c r="I91" s="10" t="inlineStr">
        <is>
          <t>Số giấy chuyển tuyến không được để trống khi chuyển từ CSKCB khác</t>
        </is>
      </c>
      <c r="J91" s="10" t="inlineStr">
        <is>
          <t>Nghiệp vụ</t>
        </is>
      </c>
      <c r="K91" s="10" t="inlineStr">
        <is>
          <t>Nghiệp vụ – Quy định BHYT</t>
        </is>
      </c>
      <c r="L91" s="10" t="inlineStr">
        <is>
          <t>Phòng BHYT</t>
        </is>
      </c>
      <c r="M91" s="10" t="inlineStr">
        <is>
          <t>Tiếp đón; CNTT</t>
        </is>
      </c>
      <c r="N91" s="10" t="inlineStr">
        <is>
          <t>Tiếp đón khai đúng mã đối tượng, giấy chuyển tuyến/hẹn, mức hưởng theo thẻ; HIS chặn khi thiếu</t>
        </is>
      </c>
      <c r="O91" s="10" t="inlineStr">
        <is>
          <t>#17</t>
        </is>
      </c>
      <c r="P91" s="17" t="n">
        <v>9</v>
      </c>
    </row>
    <row r="92">
      <c r="A92" s="10" t="n">
        <v>88</v>
      </c>
      <c r="B92" s="10" t="inlineStr">
        <is>
          <t>XML1_ADMIN_INFO_ERROR_MATINH_CU_TRU_NOT_FOUND</t>
        </is>
      </c>
      <c r="C92" s="10" t="inlineStr">
        <is>
          <t>XML1</t>
        </is>
      </c>
      <c r="D92" s="10" t="inlineStr">
        <is>
          <t>Mã tỉnh không tồn tại</t>
        </is>
      </c>
      <c r="E92" s="10" t="inlineStr">
        <is>
          <t>Có</t>
        </is>
      </c>
      <c r="F92" s="10" t="inlineStr">
        <is>
          <t>Có</t>
        </is>
      </c>
      <c r="G92" s="12" t="n">
        <v>8</v>
      </c>
      <c r="H92" s="14">
        <f>G92/68213</f>
        <v/>
      </c>
      <c r="I92" s="10" t="inlineStr">
        <is>
          <t>Mã tỉnh không tồn tại trong danh mục: 001</t>
        </is>
      </c>
      <c r="J92" s="10" t="inlineStr">
        <is>
          <t>Kỹ thuật</t>
        </is>
      </c>
      <c r="K92" s="10" t="inlineStr">
        <is>
          <t>Kỹ thuật – HIS</t>
        </is>
      </c>
      <c r="L92" s="10" t="inlineStr">
        <is>
          <t>CNTT</t>
        </is>
      </c>
      <c r="M92" s="10" t="inlineStr">
        <is>
          <t>Tiếp đón</t>
        </is>
      </c>
      <c r="N92" s="10" t="inlineStr">
        <is>
          <t>Cập nhật danh mục hành chính 2 cấp và danh mục nghề nghiệp trên HIS; khoá mã cũ</t>
        </is>
      </c>
      <c r="O92" s="10" t="inlineStr">
        <is>
          <t>#3</t>
        </is>
      </c>
      <c r="P92" s="17" t="n">
        <v>8</v>
      </c>
    </row>
    <row r="93">
      <c r="A93" s="10" t="n">
        <v>89</v>
      </c>
      <c r="B93" s="10" t="inlineStr">
        <is>
          <t>XML1_DOI_TUONG_KCB_KHONG_PHAI_SO_SINH</t>
        </is>
      </c>
      <c r="C93" s="10" t="inlineStr">
        <is>
          <t>XML1</t>
        </is>
      </c>
      <c r="D93" s="10" t="inlineStr">
        <is>
          <t>Không phải đối tượng trẻ sơ sinh phải điều trị ngay sau khi sinh ra</t>
        </is>
      </c>
      <c r="E93" s="10" t="inlineStr">
        <is>
          <t>Có</t>
        </is>
      </c>
      <c r="F93" s="10" t="inlineStr">
        <is>
          <t>Có</t>
        </is>
      </c>
      <c r="G93" s="12" t="n">
        <v>8</v>
      </c>
      <c r="H93" s="14">
        <f>G93/68213</f>
        <v/>
      </c>
      <c r="I93" s="10" t="inlineStr">
        <is>
          <t>Mã đối tượng 1.7 (Trẻ sơ sinh phải điều trị ngay sau khi sinh ra) nhưng người bệnh sinh ngày 23/09/1989, đã 13.528 ngày tuổi khi vào viện (tối đa 28 ngày)</t>
        </is>
      </c>
      <c r="J93" s="10" t="inlineStr">
        <is>
          <t>Nghiệp vụ</t>
        </is>
      </c>
      <c r="K93" s="10" t="inlineStr">
        <is>
          <t>Nghiệp vụ – Quy định BHYT</t>
        </is>
      </c>
      <c r="L93" s="10" t="inlineStr">
        <is>
          <t>Phòng BHYT</t>
        </is>
      </c>
      <c r="M93" s="10" t="inlineStr">
        <is>
          <t>Tiếp đón; CNTT</t>
        </is>
      </c>
      <c r="N93" s="10" t="inlineStr">
        <is>
          <t>Tiếp đón khai đúng mã đối tượng, giấy chuyển tuyến/hẹn, mức hưởng theo thẻ; HIS chặn khi thiếu</t>
        </is>
      </c>
      <c r="O93" s="10" t="n"/>
      <c r="P93" s="17" t="n">
        <v>8</v>
      </c>
    </row>
    <row r="94">
      <c r="A94" s="10" t="n">
        <v>90</v>
      </c>
      <c r="B94" s="10" t="inlineStr">
        <is>
          <t>XML1_SPECIAL_INPATIENT_ERROR_PP_DIEU_TRI</t>
        </is>
      </c>
      <c r="C94" s="10" t="inlineStr">
        <is>
          <t>XML1</t>
        </is>
      </c>
      <c r="D94" s="10" t="inlineStr">
        <is>
          <t>Thiếu phương pháp điều trị</t>
        </is>
      </c>
      <c r="E94" s="10" t="inlineStr">
        <is>
          <t>Có</t>
        </is>
      </c>
      <c r="F94" s="10" t="inlineStr">
        <is>
          <t>Có</t>
        </is>
      </c>
      <c r="G94" s="12" t="n">
        <v>8</v>
      </c>
      <c r="H94" s="14">
        <f>G94/68213</f>
        <v/>
      </c>
      <c r="I94" s="10" t="inlineStr">
        <is>
          <t>Phương pháp điều trị không được để trống</t>
        </is>
      </c>
      <c r="J94" s="10" t="inlineStr">
        <is>
          <t>Nghiệp vụ</t>
        </is>
      </c>
      <c r="K94" s="10" t="inlineStr">
        <is>
          <t>Nghiệp vụ – Chuyên môn lâm sàng</t>
        </is>
      </c>
      <c r="L94" s="10" t="inlineStr">
        <is>
          <t>Khoa lâm sàng</t>
        </is>
      </c>
      <c r="M94" s="10" t="inlineStr">
        <is>
          <t>Phòng KHTH</t>
        </is>
      </c>
      <c r="N94" s="10" t="inlineStr">
        <is>
          <t>Bác sĩ nhập đủ, đúng nội dung chuyên môn trên HIS; Phòng KHTH kiểm tra</t>
        </is>
      </c>
      <c r="O94" s="10" t="inlineStr">
        <is>
          <t>#16</t>
        </is>
      </c>
      <c r="P94" s="17" t="n">
        <v>7</v>
      </c>
    </row>
    <row r="95">
      <c r="A95" s="10" t="n">
        <v>91</v>
      </c>
      <c r="B95" s="10" t="inlineStr">
        <is>
          <t>XMLComplete_VTYT_KHONG_CO_DVKT_ME</t>
        </is>
      </c>
      <c r="C95" s="10" t="inlineStr">
        <is>
          <t>XMLComplete</t>
        </is>
      </c>
      <c r="D95" s="10" t="inlineStr">
        <is>
          <t>XMLComplete_VTYT_KHONG_CO_DVKT_ME</t>
        </is>
      </c>
      <c r="E95" s="10" t="inlineStr">
        <is>
          <t>Có</t>
        </is>
      </c>
      <c r="F95" s="10" t="inlineStr">
        <is>
          <t>Có</t>
        </is>
      </c>
      <c r="G95" s="12" t="n">
        <v>8</v>
      </c>
      <c r="H95" s="14">
        <f>G95/68213</f>
        <v/>
      </c>
      <c r="I95" s="10" t="inlineStr">
        <is>
          <t>Prismaflex M100 set (N07.02.060.2181.240.0001) BHYT trả 5.840.000đ, YL 10/09/2026: không có DVKT mẹ trong hồ sơ. Cần một trong: 01.0181.0118 Lọc máu thẩm tách liên tục cấp cứu (CVVHDF); 01.0176.0118 Lọc máu liên tục cấp cứu (CVVH); 01.0182.0118 Lọc máu thẩm…</t>
        </is>
      </c>
      <c r="J95" s="10" t="inlineStr">
        <is>
          <t>Nghiệp vụ</t>
        </is>
      </c>
      <c r="K95" s="10" t="inlineStr">
        <is>
          <t>Nghiệp vụ – Quy định BHYT</t>
        </is>
      </c>
      <c r="L95" s="10" t="inlineStr">
        <is>
          <t>Phòng BHYT</t>
        </is>
      </c>
      <c r="M95" s="10" t="inlineStr">
        <is>
          <t>Khoa lâm sàng; CNTT</t>
        </is>
      </c>
      <c r="N95" s="10" t="inlineStr">
        <is>
          <t>Khai thuốc/VTYT kèm đúng DVKT mẹ (MA_DICH_VU, GOI_VTYT) theo danh mục vật phẩm kèm DVKT; rà soát danh mục ở màn quản trị "Vật phẩm kèm DVKT"</t>
        </is>
      </c>
      <c r="O95" s="10" t="n"/>
      <c r="P95" s="17" t="n"/>
    </row>
    <row r="96">
      <c r="A96" s="10" t="n">
        <v>92</v>
      </c>
      <c r="B96" s="10" t="inlineStr">
        <is>
          <t>XMLComplete_EXCESS_BED_DAYS</t>
        </is>
      </c>
      <c r="C96" s="10" t="inlineStr">
        <is>
          <t>XMLComplete</t>
        </is>
      </c>
      <c r="D96" s="10" t="inlineStr">
        <is>
          <t>Điều trị nội trú &gt;= 4h và &lt;= 24h tính thừa ngày giường</t>
        </is>
      </c>
      <c r="E96" s="10" t="inlineStr">
        <is>
          <t>Không</t>
        </is>
      </c>
      <c r="F96" s="10" t="inlineStr">
        <is>
          <t>Có</t>
        </is>
      </c>
      <c r="G96" s="12" t="n">
        <v>7</v>
      </c>
      <c r="H96" s="14">
        <f>G96/68213</f>
        <v/>
      </c>
      <c r="I96" s="10" t="inlineStr">
        <is>
          <t>Thời gian điều trị nội trú từ 4 đến 24 giờ, tính thừa ngày giường: 2</t>
        </is>
      </c>
      <c r="J96" s="10" t="inlineStr">
        <is>
          <t>Nghiệp vụ</t>
        </is>
      </c>
      <c r="K96" s="10" t="inlineStr">
        <is>
          <t>Nghiệp vụ – Quy định BHYT</t>
        </is>
      </c>
      <c r="L96" s="10" t="inlineStr">
        <is>
          <t>Phòng BHYT</t>
        </is>
      </c>
      <c r="M96" s="10" t="inlineStr">
        <is>
          <t>Khoa lâm sàng; CNTT</t>
        </is>
      </c>
      <c r="N96" s="10" t="inlineStr">
        <is>
          <t>Rà soát chỉ định ngày giường, công khám, khoa chỉ định đúng quy định BHYT</t>
        </is>
      </c>
      <c r="O96" s="10" t="n"/>
      <c r="P96" s="17" t="n">
        <v>7</v>
      </c>
    </row>
    <row r="97">
      <c r="A97" s="10" t="n">
        <v>93</v>
      </c>
      <c r="B97" s="10" t="inlineStr">
        <is>
          <t>XML3_INVALID_MA_DICH_VU_NGAY_VAO</t>
        </is>
      </c>
      <c r="C97" s="10" t="inlineStr">
        <is>
          <t>XML3</t>
        </is>
      </c>
      <c r="D97" s="10" t="inlineStr">
        <is>
          <t>Không tìm thấy dịch vụ hợp lệ</t>
        </is>
      </c>
      <c r="E97" s="10" t="inlineStr">
        <is>
          <t>Có</t>
        </is>
      </c>
      <c r="F97" s="10" t="inlineStr">
        <is>
          <t>Có</t>
        </is>
      </c>
      <c r="G97" s="12" t="n">
        <v>7</v>
      </c>
      <c r="H97" s="14">
        <f>G97/68213</f>
        <v/>
      </c>
      <c r="I97" s="10" t="inlineStr">
        <is>
          <t>Không tìm thấy dịch vụ hợp lệ cho mã dịch vụ: 24.0184.1637 với ngày vào: 07/10/2023 14:19</t>
        </is>
      </c>
      <c r="J97" s="10" t="inlineStr">
        <is>
          <t>Nghiệp vụ</t>
        </is>
      </c>
      <c r="K97" s="10" t="inlineStr">
        <is>
          <t>Nghiệp vụ – Danh mục</t>
        </is>
      </c>
      <c r="L97" s="10" t="inlineStr">
        <is>
          <t>Phòng KHTH</t>
        </is>
      </c>
      <c r="M97" s="10" t="inlineStr">
        <is>
          <t>Phòng BHYT; CNTT</t>
        </is>
      </c>
      <c r="N97" s="10" t="inlineStr">
        <is>
          <t>Nhập đủ danh mục DVKT đã được BHXH phê duyệt (cơ sở 01929 chỉ có 8.123 dòng so với 15.660 của 37470); tên DVKT trên HIS theo đúng tên phê duyệt</t>
        </is>
      </c>
      <c r="O97" s="10" t="n"/>
      <c r="P97" s="17" t="n">
        <v>6</v>
      </c>
    </row>
    <row r="98">
      <c r="A98" s="10" t="n">
        <v>94</v>
      </c>
      <c r="B98" s="10" t="inlineStr">
        <is>
          <t>XML3_INVALID_ORDER_TIME</t>
        </is>
      </c>
      <c r="C98" s="10" t="inlineStr">
        <is>
          <t>XML3</t>
        </is>
      </c>
      <c r="D98" s="10" t="inlineStr">
        <is>
          <t>Thời gian chỉ định không hợp lệ</t>
        </is>
      </c>
      <c r="E98" s="10" t="inlineStr">
        <is>
          <t>Có</t>
        </is>
      </c>
      <c r="F98" s="10" t="inlineStr">
        <is>
          <t>Có</t>
        </is>
      </c>
      <c r="G98" s="12" t="n">
        <v>7</v>
      </c>
      <c r="H98" s="14">
        <f>G98/68213</f>
        <v/>
      </c>
      <c r="I98" s="10" t="inlineStr">
        <is>
          <t>Thời gian y lệnh không nằm trong khoảng thời gian vào (25/09/2026 12:17) và ra (07/10/2026 13:42)</t>
        </is>
      </c>
      <c r="J98" s="10" t="inlineStr">
        <is>
          <t>Nghiệp vụ</t>
        </is>
      </c>
      <c r="K98" s="10" t="inlineStr">
        <is>
          <t>Nghiệp vụ – Chuyên môn lâm sàng</t>
        </is>
      </c>
      <c r="L98" s="10" t="inlineStr">
        <is>
          <t>Khoa lâm sàng</t>
        </is>
      </c>
      <c r="M98" s="10" t="inlineStr">
        <is>
          <t>Phòng KHTH; CNTT</t>
        </is>
      </c>
      <c r="N98" s="10" t="inlineStr">
        <is>
          <t>Rà soát quy trình chỉ định – thực hiện; không gán giờ/người đồng loạt</t>
        </is>
      </c>
      <c r="O98" s="10" t="inlineStr">
        <is>
          <t>#30</t>
        </is>
      </c>
      <c r="P98" s="17" t="n">
        <v>6</v>
      </c>
    </row>
    <row r="99">
      <c r="A99" s="10" t="n">
        <v>95</v>
      </c>
      <c r="B99" s="10" t="inlineStr">
        <is>
          <t>XML1_ADMIN_INFO_ERROR_CHAN_DOAN_VAO</t>
        </is>
      </c>
      <c r="C99" s="10" t="inlineStr">
        <is>
          <t>XML1</t>
        </is>
      </c>
      <c r="D99" s="10" t="inlineStr">
        <is>
          <t>Thiếu chẩn đoán vào</t>
        </is>
      </c>
      <c r="E99" s="10" t="inlineStr">
        <is>
          <t>Không</t>
        </is>
      </c>
      <c r="F99" s="10" t="inlineStr">
        <is>
          <t>Có</t>
        </is>
      </c>
      <c r="G99" s="12" t="n">
        <v>6</v>
      </c>
      <c r="H99" s="14">
        <f>G99/68213</f>
        <v/>
      </c>
      <c r="I99" s="10" t="inlineStr">
        <is>
          <t>Chẩn đoán vào không được để trống</t>
        </is>
      </c>
      <c r="J99" s="10" t="inlineStr">
        <is>
          <t>Nghiệp vụ</t>
        </is>
      </c>
      <c r="K99" s="10" t="inlineStr">
        <is>
          <t>Nghiệp vụ – Chuyên môn lâm sàng</t>
        </is>
      </c>
      <c r="L99" s="10" t="inlineStr">
        <is>
          <t>Khoa lâm sàng</t>
        </is>
      </c>
      <c r="M99" s="10" t="inlineStr">
        <is>
          <t>Phòng KHTH</t>
        </is>
      </c>
      <c r="N99" s="10" t="inlineStr">
        <is>
          <t>Bác sĩ nhập đủ, đúng nội dung chuyên môn trên HIS; Phòng KHTH kiểm tra</t>
        </is>
      </c>
      <c r="O99" s="10" t="n"/>
      <c r="P99" s="17" t="n">
        <v>6</v>
      </c>
    </row>
    <row r="100">
      <c r="A100" s="10" t="n">
        <v>96</v>
      </c>
      <c r="B100" s="10" t="inlineStr">
        <is>
          <t>XML9_INFO_ERROR_INVALID_MA_THE_TAM</t>
        </is>
      </c>
      <c r="C100" s="10" t="inlineStr">
        <is>
          <t>XML9</t>
        </is>
      </c>
      <c r="D100" s="10" t="inlineStr">
        <is>
          <t>Định dạng mã thẻ tạm không hợp lệ</t>
        </is>
      </c>
      <c r="E100" s="10" t="inlineStr">
        <is>
          <t>Có</t>
        </is>
      </c>
      <c r="F100" s="10" t="inlineStr">
        <is>
          <t>Có</t>
        </is>
      </c>
      <c r="G100" s="12" t="n">
        <v>6</v>
      </c>
      <c r="H100" s="14">
        <f>G100/68213</f>
        <v/>
      </c>
      <c r="I100" s="10" t="inlineStr">
        <is>
          <t>Mã thẻ tạm không đúng theo quy định: TR1010133072595 - Phần đầu tiên không phải là: TE1</t>
        </is>
      </c>
      <c r="J100" s="10" t="inlineStr">
        <is>
          <t>Nghiệp vụ</t>
        </is>
      </c>
      <c r="K100" s="10" t="inlineStr">
        <is>
          <t>Nghiệp vụ – Quy định BHYT</t>
        </is>
      </c>
      <c r="L100" s="10" t="inlineStr">
        <is>
          <t>Phòng BHYT</t>
        </is>
      </c>
      <c r="M100" s="10" t="inlineStr">
        <is>
          <t>Tiếp đón; CNTT</t>
        </is>
      </c>
      <c r="N100" s="10" t="inlineStr">
        <is>
          <t>Tiếp đón khai đúng mã đối tượng, giấy chuyển tuyến/hẹn, mức hưởng theo thẻ; HIS chặn khi thiếu</t>
        </is>
      </c>
      <c r="O100" s="10" t="n"/>
      <c r="P100" s="17" t="n">
        <v>6</v>
      </c>
    </row>
    <row r="101">
      <c r="A101" s="10" t="n">
        <v>97</v>
      </c>
      <c r="B101" s="10" t="inlineStr">
        <is>
          <t>XML1_DOI_TUONG_KCB_TU_DEN_CO_NOI_DI</t>
        </is>
      </c>
      <c r="C101" s="10" t="inlineStr">
        <is>
          <t>XML1</t>
        </is>
      </c>
      <c r="D101" s="10" t="inlineStr">
        <is>
          <t>Người bệnh tự đến nhưng lại có mã nơi chuyển đi</t>
        </is>
      </c>
      <c r="E101" s="10" t="inlineStr">
        <is>
          <t>Có</t>
        </is>
      </c>
      <c r="F101" s="10" t="inlineStr">
        <is>
          <t>Có</t>
        </is>
      </c>
      <c r="G101" s="12" t="n">
        <v>6</v>
      </c>
      <c r="H101" s="14">
        <f>G101/68213</f>
        <v/>
      </c>
      <c r="I101" s="10" t="inlineStr">
        <is>
          <t xml:space="preserve">Mã đối tượng 3.6 (Dân tộc thiểu số, hộ nghèo vùng khó khăn đến KCB nội trú tại cơ sở cấp chuyên sâu) nhưng MA_NOI_DI =  </t>
        </is>
      </c>
      <c r="J101" s="10" t="inlineStr">
        <is>
          <t>Nghiệp vụ</t>
        </is>
      </c>
      <c r="K101" s="10" t="inlineStr">
        <is>
          <t>Nghiệp vụ – Quy định BHYT</t>
        </is>
      </c>
      <c r="L101" s="10" t="inlineStr">
        <is>
          <t>Phòng BHYT</t>
        </is>
      </c>
      <c r="M101" s="10" t="inlineStr">
        <is>
          <t>Tiếp đón; CNTT</t>
        </is>
      </c>
      <c r="N101" s="10" t="inlineStr">
        <is>
          <t>Tiếp đón khai đúng mã đối tượng, giấy chuyển tuyến/hẹn, mức hưởng theo thẻ; HIS chặn khi thiếu</t>
        </is>
      </c>
      <c r="O101" s="10" t="n"/>
      <c r="P101" s="17" t="n">
        <v>5</v>
      </c>
    </row>
    <row r="102">
      <c r="A102" s="10" t="n">
        <v>98</v>
      </c>
      <c r="B102" s="10" t="inlineStr">
        <is>
          <t>XML5_INVALID_THOI_DIEM_BDLS</t>
        </is>
      </c>
      <c r="C102" s="10" t="inlineStr">
        <is>
          <t>XML5</t>
        </is>
      </c>
      <c r="D102" s="10" t="inlineStr">
        <is>
          <t>Thời điểm BĐLS không hợp lệ</t>
        </is>
      </c>
      <c r="E102" s="10" t="inlineStr">
        <is>
          <t>Có</t>
        </is>
      </c>
      <c r="F102" s="10" t="inlineStr">
        <is>
          <t>Có</t>
        </is>
      </c>
      <c r="G102" s="12" t="n">
        <v>6</v>
      </c>
      <c r="H102" s="14">
        <f>G102/68213</f>
        <v/>
      </c>
      <c r="I102" s="10" t="inlineStr">
        <is>
          <t>THOI_DIEM_BDLS: 19/08/2026 10:17 không nằm trong khoảng thời gian vào (20/08/2026 05:00) và ra (07/09/2026 17:23)</t>
        </is>
      </c>
      <c r="J102" s="10" t="inlineStr">
        <is>
          <t>Nghiệp vụ</t>
        </is>
      </c>
      <c r="K102" s="10" t="inlineStr">
        <is>
          <t>Nghiệp vụ – Chuyên môn lâm sàng</t>
        </is>
      </c>
      <c r="L102" s="10" t="inlineStr">
        <is>
          <t>Khoa lâm sàng</t>
        </is>
      </c>
      <c r="M102" s="10" t="inlineStr">
        <is>
          <t>Phòng KHTH; CNTT</t>
        </is>
      </c>
      <c r="N102" s="10" t="inlineStr">
        <is>
          <t>Rà soát quy trình chỉ định – thực hiện; không gán giờ/người đồng loạt</t>
        </is>
      </c>
      <c r="O102" s="10" t="inlineStr">
        <is>
          <t>#41</t>
        </is>
      </c>
      <c r="P102" s="17" t="n">
        <v>5</v>
      </c>
    </row>
    <row r="103">
      <c r="A103" s="10" t="n">
        <v>99</v>
      </c>
      <c r="B103" s="10" t="inlineStr">
        <is>
          <t>XML1_ADMIN_INFO_ERROR_MA_DKBD_NOT_FOUND</t>
        </is>
      </c>
      <c r="C103" s="10" t="inlineStr">
        <is>
          <t>XML1</t>
        </is>
      </c>
      <c r="D103" s="10" t="inlineStr">
        <is>
          <t>Mã đăng ký ban đầu không có trong danh mục</t>
        </is>
      </c>
      <c r="E103" s="10" t="inlineStr">
        <is>
          <t>Không</t>
        </is>
      </c>
      <c r="F103" s="10" t="inlineStr">
        <is>
          <t>Có</t>
        </is>
      </c>
      <c r="G103" s="12" t="n">
        <v>5</v>
      </c>
      <c r="H103" s="14">
        <f>G103/68213</f>
        <v/>
      </c>
      <c r="I103" s="10" t="inlineStr">
        <is>
          <t>Mã đăng ký ban đầu: 38101 không có trong danh mục CSKCB</t>
        </is>
      </c>
      <c r="J103" s="10" t="inlineStr">
        <is>
          <t>Nghiệp vụ</t>
        </is>
      </c>
      <c r="K103" s="10" t="inlineStr">
        <is>
          <t>Nghiệp vụ – Hành chính, tiếp đón</t>
        </is>
      </c>
      <c r="L103" s="10" t="inlineStr">
        <is>
          <t>Tiếp đón</t>
        </is>
      </c>
      <c r="M103" s="10" t="inlineStr">
        <is>
          <t>Phòng BHYT</t>
        </is>
      </c>
      <c r="N103" s="10" t="inlineStr">
        <is>
          <t>Nhập đúng mã cơ sở KCB nơi đi/đến/ĐKBĐ (có mã gõ sai như 38230b)</t>
        </is>
      </c>
      <c r="O103" s="10" t="n"/>
      <c r="P103" s="17" t="n">
        <v>4</v>
      </c>
    </row>
    <row r="104">
      <c r="A104" s="10" t="n">
        <v>100</v>
      </c>
      <c r="B104" s="10" t="inlineStr">
        <is>
          <t>XMLComplete_DUPLICATE_EXAMINATION_SERVICE</t>
        </is>
      </c>
      <c r="C104" s="10" t="inlineStr">
        <is>
          <t>XMLComplete</t>
        </is>
      </c>
      <c r="D104" s="10" t="inlineStr">
        <is>
          <t>Trùng dịch vụ khám bệnh</t>
        </is>
      </c>
      <c r="E104" s="10" t="inlineStr">
        <is>
          <t>Không</t>
        </is>
      </c>
      <c r="F104" s="10" t="inlineStr">
        <is>
          <t>Có</t>
        </is>
      </c>
      <c r="G104" s="12" t="n">
        <v>4</v>
      </c>
      <c r="H104" s="14">
        <f>G104/68213</f>
        <v/>
      </c>
      <c r="I104" s="10" t="inlineStr">
        <is>
          <t>Mỗi dịch vụ khám chỉ được tính 1 lần. Dịch vụ khám bị lặp: 10.22</t>
        </is>
      </c>
      <c r="J104" s="10" t="inlineStr">
        <is>
          <t>Nghiệp vụ</t>
        </is>
      </c>
      <c r="K104" s="10" t="inlineStr">
        <is>
          <t>Nghiệp vụ – Quy định BHYT</t>
        </is>
      </c>
      <c r="L104" s="10" t="inlineStr">
        <is>
          <t>Phòng BHYT</t>
        </is>
      </c>
      <c r="M104" s="10" t="inlineStr">
        <is>
          <t>Khoa lâm sàng; CNTT</t>
        </is>
      </c>
      <c r="N104" s="10" t="inlineStr">
        <is>
          <t>Rà soát chỉ định ngày giường, công khám, khoa chỉ định đúng quy định BHYT</t>
        </is>
      </c>
      <c r="O104" s="10" t="n"/>
      <c r="P104" s="17" t="n">
        <v>4</v>
      </c>
    </row>
    <row r="105">
      <c r="A105" s="10" t="n">
        <v>101</v>
      </c>
      <c r="B105" s="10" t="inlineStr">
        <is>
          <t>XML1_DISEASE_ICD_CODE_ERROR_MA_BENH_KT</t>
        </is>
      </c>
      <c r="C105" s="10" t="inlineStr">
        <is>
          <t>XML1</t>
        </is>
      </c>
      <c r="D105" s="10" t="inlineStr">
        <is>
          <t>Mã bệnh kèm theo không tồn tại</t>
        </is>
      </c>
      <c r="E105" s="10" t="inlineStr">
        <is>
          <t>Có</t>
        </is>
      </c>
      <c r="F105" s="10" t="inlineStr">
        <is>
          <t>Có</t>
        </is>
      </c>
      <c r="G105" s="12" t="n">
        <v>4</v>
      </c>
      <c r="H105" s="14">
        <f>G105/68213</f>
        <v/>
      </c>
      <c r="I105" s="10" t="inlineStr">
        <is>
          <t>Mã bệnh kèm theo không tồn tại trong danh mục ICD10: M32.1</t>
        </is>
      </c>
      <c r="J105" s="10" t="inlineStr">
        <is>
          <t>Nghiệp vụ</t>
        </is>
      </c>
      <c r="K105" s="10" t="inlineStr">
        <is>
          <t>Nghiệp vụ – Chuyên môn lâm sàng</t>
        </is>
      </c>
      <c r="L105" s="10" t="inlineStr">
        <is>
          <t>Khoa lâm sàng</t>
        </is>
      </c>
      <c r="M105" s="10" t="inlineStr">
        <is>
          <t>Phòng KHTH</t>
        </is>
      </c>
      <c r="N105" s="10" t="inlineStr">
        <is>
          <t>Bác sĩ nhập đủ, đúng nội dung chuyên môn trên HIS; Phòng KHTH kiểm tra</t>
        </is>
      </c>
      <c r="O105" s="10" t="inlineStr">
        <is>
          <t>#12, #13</t>
        </is>
      </c>
      <c r="P105" s="17" t="n">
        <v>3</v>
      </c>
    </row>
    <row r="106">
      <c r="A106" s="10" t="n">
        <v>102</v>
      </c>
      <c r="B106" s="10" t="inlineStr">
        <is>
          <t>XML9_INFO_ERROR_MA_THE_BHYT_NND_LENGTH</t>
        </is>
      </c>
      <c r="C106" s="10" t="inlineStr">
        <is>
          <t>XML9</t>
        </is>
      </c>
      <c r="D106" s="10" t="inlineStr">
        <is>
          <t>Mã thẻ BHYT Người nuôi dưỡng không hợp lệ</t>
        </is>
      </c>
      <c r="E106" s="10" t="inlineStr">
        <is>
          <t>Có</t>
        </is>
      </c>
      <c r="F106" s="10" t="inlineStr">
        <is>
          <t>Có</t>
        </is>
      </c>
      <c r="G106" s="12" t="n">
        <v>4</v>
      </c>
      <c r="H106" s="14">
        <f>G106/68213</f>
        <v/>
      </c>
      <c r="I106" s="10" t="inlineStr">
        <is>
          <t>Mã thẻ BHYT Người nuôi dưỡng phải có độ dài là 15 ký tự: HC437035187005171</t>
        </is>
      </c>
      <c r="J106" s="10" t="inlineStr">
        <is>
          <t>Nghiệp vụ</t>
        </is>
      </c>
      <c r="K106" s="10" t="inlineStr">
        <is>
          <t>Nghiệp vụ – Quy định BHYT</t>
        </is>
      </c>
      <c r="L106" s="10" t="inlineStr">
        <is>
          <t>Phòng BHYT</t>
        </is>
      </c>
      <c r="M106" s="10" t="inlineStr">
        <is>
          <t>Tiếp đón; CNTT</t>
        </is>
      </c>
      <c r="N106" s="10" t="inlineStr">
        <is>
          <t>Tiếp đón khai đúng mã đối tượng, giấy chuyển tuyến/hẹn, mức hưởng theo thẻ; HIS chặn khi thiếu</t>
        </is>
      </c>
      <c r="O106" s="10" t="n"/>
      <c r="P106" s="17" t="n">
        <v>3</v>
      </c>
    </row>
    <row r="107">
      <c r="A107" s="10" t="n">
        <v>103</v>
      </c>
      <c r="B107" s="10" t="inlineStr">
        <is>
          <t>XML3_NGAY_KQ_GREATER_NGAY_RA</t>
        </is>
      </c>
      <c r="C107" s="10" t="inlineStr">
        <is>
          <t>XML3</t>
        </is>
      </c>
      <c r="D107" s="10" t="inlineStr">
        <is>
          <t>Ngày kết quả dịch vụ lớn hơn ngày ra viện</t>
        </is>
      </c>
      <c r="E107" s="10" t="inlineStr">
        <is>
          <t>Không</t>
        </is>
      </c>
      <c r="F107" s="10" t="inlineStr">
        <is>
          <t>Có</t>
        </is>
      </c>
      <c r="G107" s="12" t="n">
        <v>3</v>
      </c>
      <c r="H107" s="14">
        <f>G107/68213</f>
        <v/>
      </c>
      <c r="I107" s="10" t="inlineStr">
        <is>
          <t>Ngày KQ (30/10/2026 20:15) &gt; ngày ra (02/10/2026 10:06). Dịch vụ: Thay huyết tương sử dụng huyết tương</t>
        </is>
      </c>
      <c r="J107" s="10" t="inlineStr">
        <is>
          <t>Kỹ thuật</t>
        </is>
      </c>
      <c r="K107" s="10" t="inlineStr">
        <is>
          <t>Kỹ thuật – Tích hợp HIS–PACS/LIS</t>
        </is>
      </c>
      <c r="L107" s="10" t="inlineStr">
        <is>
          <t>CNTT</t>
        </is>
      </c>
      <c r="M107" s="10" t="inlineStr">
        <is>
          <t>Khoa CĐHA; Khoa Xét nghiệm</t>
        </is>
      </c>
      <c r="N107" s="10" t="inlineStr">
        <is>
          <t>Thống nhất một nguồn thời gian trả kết quả giữa PACS/LIS và HIS; rà ca trả kết quả sau ra viện</t>
        </is>
      </c>
      <c r="O107" s="10" t="inlineStr">
        <is>
          <t>#32</t>
        </is>
      </c>
      <c r="P107" s="17" t="n">
        <v>182</v>
      </c>
    </row>
    <row r="108">
      <c r="A108" s="10" t="n">
        <v>104</v>
      </c>
      <c r="B108" s="10" t="inlineStr">
        <is>
          <t>XML3_INFO_ERROR_SO_LUONG_INVALID</t>
        </is>
      </c>
      <c r="C108" s="10" t="inlineStr">
        <is>
          <t>XML3</t>
        </is>
      </c>
      <c r="D108" s="10" t="inlineStr">
        <is>
          <t>Số lượng không hợp lệ</t>
        </is>
      </c>
      <c r="E108" s="10" t="inlineStr">
        <is>
          <t>Có</t>
        </is>
      </c>
      <c r="F108" s="10" t="inlineStr">
        <is>
          <t>Có</t>
        </is>
      </c>
      <c r="G108" s="12" t="n">
        <v>3</v>
      </c>
      <c r="H108" s="14">
        <f>G108/68213</f>
        <v/>
      </c>
      <c r="I108" s="10" t="inlineStr">
        <is>
          <t>Số lượng không được &gt; 1 cho dịch vụ: Điều trị tủy răng và hàn kín hệ thống ống tủy bằng Gutta percha nóng chảy có sử dụng trâm xoay máy [răng số 1, 2, 3]</t>
        </is>
      </c>
      <c r="J108" s="10" t="inlineStr">
        <is>
          <t>Nghiệp vụ</t>
        </is>
      </c>
      <c r="K108" s="10" t="inlineStr">
        <is>
          <t>Nghiệp vụ – Chuyên môn lâm sàng</t>
        </is>
      </c>
      <c r="L108" s="10" t="inlineStr">
        <is>
          <t>Khoa lâm sàng</t>
        </is>
      </c>
      <c r="M108" s="10" t="inlineStr">
        <is>
          <t>Phòng KHTH</t>
        </is>
      </c>
      <c r="N108" s="10" t="inlineStr">
        <is>
          <t>Bác sĩ nhập đủ, đúng nội dung chuyên môn trên HIS; Phòng KHTH kiểm tra</t>
        </is>
      </c>
      <c r="O108" s="10" t="n"/>
      <c r="P108" s="17" t="n">
        <v>3</v>
      </c>
    </row>
    <row r="109">
      <c r="A109" s="10" t="n">
        <v>105</v>
      </c>
      <c r="B109" s="10" t="inlineStr">
        <is>
          <t>XML11_INFO_ERROR_TU_NGAY_GREATER_NGAY_RA</t>
        </is>
      </c>
      <c r="C109" s="10" t="inlineStr">
        <is>
          <t>XML11</t>
        </is>
      </c>
      <c r="D109" s="10" t="inlineStr">
        <is>
          <t>Từ ngày lớn hơn ngày ra</t>
        </is>
      </c>
      <c r="E109" s="10" t="inlineStr">
        <is>
          <t>Có</t>
        </is>
      </c>
      <c r="F109" s="10" t="inlineStr">
        <is>
          <t>Có</t>
        </is>
      </c>
      <c r="G109" s="12" t="n">
        <v>3</v>
      </c>
      <c r="H109" s="14">
        <f>G109/68213</f>
        <v/>
      </c>
      <c r="I109" s="10" t="inlineStr">
        <is>
          <t>Từ ngày: 07/10/2026 không được lớn hơn ngày ra: 06/10/2026</t>
        </is>
      </c>
      <c r="J109" s="10" t="inlineStr">
        <is>
          <t>Nghiệp vụ</t>
        </is>
      </c>
      <c r="K109" s="10" t="inlineStr">
        <is>
          <t>Nghiệp vụ – Chuyên môn lâm sàng</t>
        </is>
      </c>
      <c r="L109" s="10" t="inlineStr">
        <is>
          <t>Khoa lâm sàng</t>
        </is>
      </c>
      <c r="M109" s="10" t="inlineStr">
        <is>
          <t>Phòng KHTH</t>
        </is>
      </c>
      <c r="N109" s="10" t="inlineStr">
        <is>
          <t>Bác sĩ nhập đủ, đúng nội dung chuyên môn trên HIS; Phòng KHTH kiểm tra</t>
        </is>
      </c>
      <c r="O109" s="10" t="n"/>
      <c r="P109" s="17" t="n">
        <v>2</v>
      </c>
    </row>
    <row r="110">
      <c r="A110" s="10" t="n">
        <v>106</v>
      </c>
      <c r="B110" s="10" t="inlineStr">
        <is>
          <t>XML3_INFO_ERROR_GOI_THAU</t>
        </is>
      </c>
      <c r="C110" s="10" t="inlineStr">
        <is>
          <t>XML3</t>
        </is>
      </c>
      <c r="D110" s="10" t="inlineStr">
        <is>
          <t>Gói thầu không đúng định dạng</t>
        </is>
      </c>
      <c r="E110" s="10" t="inlineStr">
        <is>
          <t>Có</t>
        </is>
      </c>
      <c r="F110" s="10" t="inlineStr">
        <is>
          <t>Có</t>
        </is>
      </c>
      <c r="G110" s="12" t="n">
        <v>3</v>
      </c>
      <c r="H110" s="14">
        <f>G110/68213</f>
        <v/>
      </c>
      <c r="I110" s="10" t="inlineStr">
        <is>
          <t>Gói thầu của dịch vụ: Quả lọc hấp phụ sử dụng trong chống độc MG250; không đúng định dạng: 1224/QĐ-BM;;N0;2024</t>
        </is>
      </c>
      <c r="J110" s="10" t="inlineStr">
        <is>
          <t>Nghiệp vụ</t>
        </is>
      </c>
      <c r="K110" s="10" t="inlineStr">
        <is>
          <t>Nghiệp vụ – Danh mục</t>
        </is>
      </c>
      <c r="L110" s="10" t="inlineStr">
        <is>
          <t>Phòng VT-TBYT</t>
        </is>
      </c>
      <c r="M110" s="10" t="inlineStr">
        <is>
          <t>Phòng BHYT; CNTT</t>
        </is>
      </c>
      <c r="N110" s="10" t="inlineStr">
        <is>
          <t>Đối chiếu danh mục VTYT trên HIS với danh mục được duyệt theo thầu</t>
        </is>
      </c>
      <c r="O110" s="10" t="n"/>
      <c r="P110" s="17" t="n">
        <v>2</v>
      </c>
    </row>
    <row r="111">
      <c r="A111" s="10" t="n">
        <v>107</v>
      </c>
      <c r="B111" s="10" t="inlineStr">
        <is>
          <t>XMLComplete_SHORT_INPATIENT_STAY</t>
        </is>
      </c>
      <c r="C111" s="10" t="inlineStr">
        <is>
          <t>XMLComplete</t>
        </is>
      </c>
      <c r="D111" s="10" t="inlineStr">
        <is>
          <t>Điều trị nội trú &lt; 4h không được tính tiền giường</t>
        </is>
      </c>
      <c r="E111" s="10" t="inlineStr">
        <is>
          <t>Không</t>
        </is>
      </c>
      <c r="F111" s="10" t="inlineStr">
        <is>
          <t>Có</t>
        </is>
      </c>
      <c r="G111" s="12" t="n">
        <v>3</v>
      </c>
      <c r="H111" s="14">
        <f>G111/68213</f>
        <v/>
      </c>
      <c r="I111" s="10" t="inlineStr">
        <is>
          <t>Thời gian điều trị nội trú nhỏ hơn 4 giờ, không được tính tiền giường.</t>
        </is>
      </c>
      <c r="J111" s="10" t="inlineStr">
        <is>
          <t>Nghiệp vụ</t>
        </is>
      </c>
      <c r="K111" s="10" t="inlineStr">
        <is>
          <t>Nghiệp vụ – Quy định BHYT</t>
        </is>
      </c>
      <c r="L111" s="10" t="inlineStr">
        <is>
          <t>Phòng BHYT</t>
        </is>
      </c>
      <c r="M111" s="10" t="inlineStr">
        <is>
          <t>Khoa lâm sàng; CNTT</t>
        </is>
      </c>
      <c r="N111" s="10" t="inlineStr">
        <is>
          <t>Rà soát chỉ định ngày giường, công khám, khoa chỉ định đúng quy định BHYT</t>
        </is>
      </c>
      <c r="O111" s="10" t="n"/>
      <c r="P111" s="17" t="n">
        <v>2</v>
      </c>
    </row>
    <row r="112">
      <c r="A112" s="10" t="n">
        <v>108</v>
      </c>
      <c r="B112" s="10" t="inlineStr">
        <is>
          <t>XMLComplete_GOI_VTYT_KHONG_KHOP</t>
        </is>
      </c>
      <c r="C112" s="10" t="inlineStr">
        <is>
          <t>XMLComplete</t>
        </is>
      </c>
      <c r="D112" s="10" t="inlineStr">
        <is>
          <t>Gói VTYT không khớp DVKT mẹ được BHYT thanh toán</t>
        </is>
      </c>
      <c r="E112" s="10" t="inlineStr">
        <is>
          <t>Có</t>
        </is>
      </c>
      <c r="F112" s="10" t="inlineStr">
        <is>
          <t>Có</t>
        </is>
      </c>
      <c r="G112" s="12" t="n">
        <v>3</v>
      </c>
      <c r="H112" s="14">
        <f>G112/68213</f>
        <v/>
      </c>
      <c r="I112" s="10" t="inlineStr">
        <is>
          <t>Kẹp vá sọ não tự tiêu 2 phía CRANIOFIX-ABSORBABLE  gắn DVKT 26.0003.0379: DVKT 26.0003.0379 Phẫu thuật vi phẫu u não đường giữa không thuộc danh sách DVKT mẹ hợp lệ của vật phẩm. Hợp lệ: 26.0004.0387 Phẫu thuật vi phẫu dị dạng mạch não; 28.0027.0384 Phẫu th…</t>
        </is>
      </c>
      <c r="J112" s="10" t="inlineStr">
        <is>
          <t>Nghiệp vụ</t>
        </is>
      </c>
      <c r="K112" s="10" t="inlineStr">
        <is>
          <t>Nghiệp vụ – Quy định BHYT</t>
        </is>
      </c>
      <c r="L112" s="10" t="inlineStr">
        <is>
          <t>Phòng BHYT</t>
        </is>
      </c>
      <c r="M112" s="10" t="inlineStr">
        <is>
          <t>Khoa lâm sàng; CNTT</t>
        </is>
      </c>
      <c r="N112" s="10" t="inlineStr">
        <is>
          <t>Khai thuốc/VTYT kèm đúng DVKT mẹ (MA_DICH_VU, GOI_VTYT) theo danh mục vật phẩm kèm DVKT; rà soát danh mục ở màn quản trị "Vật phẩm kèm DVKT"</t>
        </is>
      </c>
      <c r="O112" s="10" t="n"/>
      <c r="P112" s="17" t="n"/>
    </row>
    <row r="113">
      <c r="A113" s="10" t="n">
        <v>109</v>
      </c>
      <c r="B113" s="10" t="inlineStr">
        <is>
          <t>XML11_INFO_ERROR_DEN_NGAY</t>
        </is>
      </c>
      <c r="C113" s="10" t="inlineStr">
        <is>
          <t>XML11</t>
        </is>
      </c>
      <c r="D113" s="10" t="inlineStr">
        <is>
          <t>Thiếu đến ngày</t>
        </is>
      </c>
      <c r="E113" s="10" t="inlineStr">
        <is>
          <t>Có</t>
        </is>
      </c>
      <c r="F113" s="10" t="inlineStr">
        <is>
          <t>Có</t>
        </is>
      </c>
      <c r="G113" s="12" t="n">
        <v>2</v>
      </c>
      <c r="H113" s="14">
        <f>G113/68213</f>
        <v/>
      </c>
      <c r="I113" s="10" t="inlineStr">
        <is>
          <t>Đến ngày không được để trống</t>
        </is>
      </c>
      <c r="J113" s="10" t="inlineStr">
        <is>
          <t>Nghiệp vụ</t>
        </is>
      </c>
      <c r="K113" s="10" t="inlineStr">
        <is>
          <t>Nghiệp vụ – Chuyên môn lâm sàng</t>
        </is>
      </c>
      <c r="L113" s="10" t="inlineStr">
        <is>
          <t>Khoa lâm sàng</t>
        </is>
      </c>
      <c r="M113" s="10" t="inlineStr">
        <is>
          <t>Phòng KHTH</t>
        </is>
      </c>
      <c r="N113" s="10" t="inlineStr">
        <is>
          <t>Bác sĩ nhập đủ, đúng nội dung chuyên môn trên HIS; Phòng KHTH kiểm tra</t>
        </is>
      </c>
      <c r="O113" s="10" t="n"/>
      <c r="P113" s="17" t="n">
        <v>2</v>
      </c>
    </row>
    <row r="114">
      <c r="A114" s="10" t="n">
        <v>110</v>
      </c>
      <c r="B114" s="10" t="inlineStr">
        <is>
          <t>XML11_INFO_ERROR_MA_THE_BHYT_LENGTH</t>
        </is>
      </c>
      <c r="C114" s="10" t="inlineStr">
        <is>
          <t>XML11</t>
        </is>
      </c>
      <c r="D114" s="10" t="inlineStr">
        <is>
          <t>Mã thẻ BHYT không hợp lệ</t>
        </is>
      </c>
      <c r="E114" s="10" t="inlineStr">
        <is>
          <t>Có</t>
        </is>
      </c>
      <c r="F114" s="10" t="inlineStr">
        <is>
          <t>Có</t>
        </is>
      </c>
      <c r="G114" s="12" t="n">
        <v>2</v>
      </c>
      <c r="H114" s="14">
        <f>G114/68213</f>
        <v/>
      </c>
      <c r="I114" s="10" t="inlineStr">
        <is>
          <t>Mã thẻ BHYT phải có độ dài là 15 ký tự: DN431031071005275</t>
        </is>
      </c>
      <c r="J114" s="10" t="inlineStr">
        <is>
          <t>Nghiệp vụ</t>
        </is>
      </c>
      <c r="K114" s="10" t="inlineStr">
        <is>
          <t>Nghiệp vụ – Quy định BHYT</t>
        </is>
      </c>
      <c r="L114" s="10" t="inlineStr">
        <is>
          <t>Phòng BHYT</t>
        </is>
      </c>
      <c r="M114" s="10" t="inlineStr">
        <is>
          <t>Tiếp đón; CNTT</t>
        </is>
      </c>
      <c r="N114" s="10" t="inlineStr">
        <is>
          <t>Tiếp đón khai đúng mã đối tượng, giấy chuyển tuyến/hẹn, mức hưởng theo thẻ; HIS chặn khi thiếu</t>
        </is>
      </c>
      <c r="O114" s="10" t="n"/>
      <c r="P114" s="17" t="n">
        <v>2</v>
      </c>
    </row>
    <row r="115">
      <c r="A115" s="10" t="n">
        <v>111</v>
      </c>
      <c r="B115" s="10" t="inlineStr">
        <is>
          <t>XML11_INFO_ERROR_SO_NGAY_NGHI</t>
        </is>
      </c>
      <c r="C115" s="10" t="inlineStr">
        <is>
          <t>XML11</t>
        </is>
      </c>
      <c r="D115" s="10" t="inlineStr">
        <is>
          <t>Thiếu số ngày nghỉ</t>
        </is>
      </c>
      <c r="E115" s="10" t="inlineStr">
        <is>
          <t>Có</t>
        </is>
      </c>
      <c r="F115" s="10" t="inlineStr">
        <is>
          <t>Có</t>
        </is>
      </c>
      <c r="G115" s="12" t="n">
        <v>2</v>
      </c>
      <c r="H115" s="14">
        <f>G115/68213</f>
        <v/>
      </c>
      <c r="I115" s="10" t="inlineStr">
        <is>
          <t>Số ngày nghỉ không được để trống</t>
        </is>
      </c>
      <c r="J115" s="10" t="inlineStr">
        <is>
          <t>Nghiệp vụ</t>
        </is>
      </c>
      <c r="K115" s="10" t="inlineStr">
        <is>
          <t>Nghiệp vụ – Chuyên môn lâm sàng</t>
        </is>
      </c>
      <c r="L115" s="10" t="inlineStr">
        <is>
          <t>Khoa lâm sàng</t>
        </is>
      </c>
      <c r="M115" s="10" t="inlineStr">
        <is>
          <t>Phòng KHTH</t>
        </is>
      </c>
      <c r="N115" s="10" t="inlineStr">
        <is>
          <t>Bác sĩ nhập đủ, đúng nội dung chuyên môn trên HIS; Phòng KHTH kiểm tra</t>
        </is>
      </c>
      <c r="O115" s="10" t="n"/>
      <c r="P115" s="17" t="n">
        <v>2</v>
      </c>
    </row>
    <row r="116">
      <c r="A116" s="10" t="n">
        <v>112</v>
      </c>
      <c r="B116" s="10" t="inlineStr">
        <is>
          <t>XML11_INFO_ERROR_TU_NGAY</t>
        </is>
      </c>
      <c r="C116" s="10" t="inlineStr">
        <is>
          <t>XML11</t>
        </is>
      </c>
      <c r="D116" s="10" t="inlineStr">
        <is>
          <t>Thiếu từ ngày</t>
        </is>
      </c>
      <c r="E116" s="10" t="inlineStr">
        <is>
          <t>Có</t>
        </is>
      </c>
      <c r="F116" s="10" t="inlineStr">
        <is>
          <t>Có</t>
        </is>
      </c>
      <c r="G116" s="12" t="n">
        <v>2</v>
      </c>
      <c r="H116" s="14">
        <f>G116/68213</f>
        <v/>
      </c>
      <c r="I116" s="10" t="inlineStr">
        <is>
          <t>Từ ngày không được để trống</t>
        </is>
      </c>
      <c r="J116" s="10" t="inlineStr">
        <is>
          <t>Nghiệp vụ</t>
        </is>
      </c>
      <c r="K116" s="10" t="inlineStr">
        <is>
          <t>Nghiệp vụ – Chuyên môn lâm sàng</t>
        </is>
      </c>
      <c r="L116" s="10" t="inlineStr">
        <is>
          <t>Khoa lâm sàng</t>
        </is>
      </c>
      <c r="M116" s="10" t="inlineStr">
        <is>
          <t>Phòng KHTH</t>
        </is>
      </c>
      <c r="N116" s="10" t="inlineStr">
        <is>
          <t>Bác sĩ nhập đủ, đúng nội dung chuyên môn trên HIS; Phòng KHTH kiểm tra</t>
        </is>
      </c>
      <c r="O116" s="10" t="n"/>
      <c r="P116" s="17" t="n">
        <v>2</v>
      </c>
    </row>
    <row r="117">
      <c r="A117" s="10" t="n">
        <v>113</v>
      </c>
      <c r="B117" s="10" t="inlineStr">
        <is>
          <t>XML1_ADMIN_INFO_ERROR_MA_DOITUONG_KCB_INVALID</t>
        </is>
      </c>
      <c r="C117" s="10" t="inlineStr">
        <is>
          <t>XML1</t>
        </is>
      </c>
      <c r="D117" s="10" t="inlineStr">
        <is>
          <t>Mã đối tượng KCB không hợp lệ</t>
        </is>
      </c>
      <c r="E117" s="10" t="inlineStr">
        <is>
          <t>Có</t>
        </is>
      </c>
      <c r="F117" s="10" t="inlineStr">
        <is>
          <t>Có</t>
        </is>
      </c>
      <c r="G117" s="12" t="n">
        <v>2</v>
      </c>
      <c r="H117" s="14">
        <f>G117/68213</f>
        <v/>
      </c>
      <c r="I117" s="10" t="inlineStr">
        <is>
          <t>Mã đối tượng KCB Trái tuyến nhưng thẻ BHYT Đúng tuyến</t>
        </is>
      </c>
      <c r="J117" s="10" t="inlineStr">
        <is>
          <t>Nghiệp vụ</t>
        </is>
      </c>
      <c r="K117" s="10" t="inlineStr">
        <is>
          <t>Nghiệp vụ – Quy định BHYT</t>
        </is>
      </c>
      <c r="L117" s="10" t="inlineStr">
        <is>
          <t>Phòng BHYT</t>
        </is>
      </c>
      <c r="M117" s="10" t="inlineStr">
        <is>
          <t>Tiếp đón; CNTT</t>
        </is>
      </c>
      <c r="N117" s="10" t="inlineStr">
        <is>
          <t>Tiếp đón khai đúng mã đối tượng, giấy chuyển tuyến/hẹn, mức hưởng theo thẻ; HIS chặn khi thiếu</t>
        </is>
      </c>
      <c r="O117" s="10" t="n"/>
      <c r="P117" s="17" t="n">
        <v>2</v>
      </c>
    </row>
    <row r="118">
      <c r="A118" s="10" t="n">
        <v>114</v>
      </c>
      <c r="B118" s="10" t="inlineStr">
        <is>
          <t>XML1_NGAY_SINH_GREATER_NGAY_VAO</t>
        </is>
      </c>
      <c r="C118" s="10" t="inlineStr">
        <is>
          <t>XML1</t>
        </is>
      </c>
      <c r="D118" s="10" t="inlineStr">
        <is>
          <t>Ngày sinh lớn hơn ngày vào viện</t>
        </is>
      </c>
      <c r="E118" s="10" t="inlineStr">
        <is>
          <t>Có</t>
        </is>
      </c>
      <c r="F118" s="10" t="inlineStr">
        <is>
          <t>Có</t>
        </is>
      </c>
      <c r="G118" s="12" t="n">
        <v>2</v>
      </c>
      <c r="H118" s="14">
        <f>G118/68213</f>
        <v/>
      </c>
      <c r="I118" s="10" t="inlineStr">
        <is>
          <t>Ngày sinh (31/08/2026 00:00) lớn hơn ngày vào viện (30/08/2026 23:51)</t>
        </is>
      </c>
      <c r="J118" s="10" t="inlineStr">
        <is>
          <t>Nghiệp vụ</t>
        </is>
      </c>
      <c r="K118" s="10" t="inlineStr">
        <is>
          <t>Nghiệp vụ – Hành chính, tiếp đón</t>
        </is>
      </c>
      <c r="L118" s="10" t="inlineStr">
        <is>
          <t>Tiếp đón</t>
        </is>
      </c>
      <c r="M118" s="10" t="inlineStr">
        <is>
          <t>CNTT</t>
        </is>
      </c>
      <c r="N118" s="10" t="inlineStr">
        <is>
          <t>Tiếp đón nhập đủ thông tin hành chính; HIS bắt buộc trường bắt buộc</t>
        </is>
      </c>
      <c r="O118" s="10" t="n"/>
      <c r="P118" s="17" t="n">
        <v>2</v>
      </c>
    </row>
    <row r="119">
      <c r="A119" s="10" t="n">
        <v>115</v>
      </c>
      <c r="B119" s="10" t="inlineStr">
        <is>
          <t>XML3_OUTPATIENT_BED_DAY_ERROR</t>
        </is>
      </c>
      <c r="C119" s="10" t="inlineStr">
        <is>
          <t>XML3</t>
        </is>
      </c>
      <c r="D119" s="10" t="inlineStr">
        <is>
          <t>Mã loại KCB không được chỉ định ngày giường</t>
        </is>
      </c>
      <c r="E119" s="10" t="inlineStr">
        <is>
          <t>Có</t>
        </is>
      </c>
      <c r="F119" s="10" t="inlineStr">
        <is>
          <t>Có</t>
        </is>
      </c>
      <c r="G119" s="12" t="n">
        <v>2</v>
      </c>
      <c r="H119" s="14">
        <f>G119/68213</f>
        <v/>
      </c>
      <c r="I119" s="10" t="inlineStr">
        <is>
          <t>MA_LOAI_KCB là (Khám hoặc Điều trị ngoại trú) nhưng có chỉ định dịch vụ ngày giường</t>
        </is>
      </c>
      <c r="J119" s="10" t="inlineStr">
        <is>
          <t>Nghiệp vụ</t>
        </is>
      </c>
      <c r="K119" s="10" t="inlineStr">
        <is>
          <t>Nghiệp vụ – Quy định BHYT</t>
        </is>
      </c>
      <c r="L119" s="10" t="inlineStr">
        <is>
          <t>Phòng BHYT</t>
        </is>
      </c>
      <c r="M119" s="10" t="inlineStr">
        <is>
          <t>Khoa lâm sàng; CNTT</t>
        </is>
      </c>
      <c r="N119" s="10" t="inlineStr">
        <is>
          <t>Rà soát chỉ định ngày giường, công khám, khoa chỉ định đúng quy định BHYT</t>
        </is>
      </c>
      <c r="O119" s="10" t="n"/>
      <c r="P119" s="17" t="n">
        <v>2</v>
      </c>
    </row>
    <row r="120">
      <c r="A120" s="10" t="n">
        <v>116</v>
      </c>
      <c r="B120" s="10" t="inlineStr">
        <is>
          <t>XML1_DOI_TUONG_KCB_THIEU_MA_KHUVUC</t>
        </is>
      </c>
      <c r="C120" s="10" t="inlineStr">
        <is>
          <t>XML1</t>
        </is>
      </c>
      <c r="D120" s="10" t="inlineStr">
        <is>
          <t>Thiếu mã khu vực</t>
        </is>
      </c>
      <c r="E120" s="10" t="inlineStr">
        <is>
          <t>Có</t>
        </is>
      </c>
      <c r="F120" s="10" t="inlineStr">
        <is>
          <t>Có</t>
        </is>
      </c>
      <c r="G120" s="12" t="n">
        <v>2</v>
      </c>
      <c r="H120" s="14">
        <f>G120/68213</f>
        <v/>
      </c>
      <c r="I120" s="10" t="inlineStr">
        <is>
          <t>Mã đối tượng 3.6 (Dân tộc thiểu số, hộ nghèo vùng khó khăn đến KCB nội trú tại cơ sở cấp chuyên sâu) nhưng MA_KHUVUC để trống</t>
        </is>
      </c>
      <c r="J120" s="10" t="inlineStr">
        <is>
          <t>Nghiệp vụ</t>
        </is>
      </c>
      <c r="K120" s="10" t="inlineStr">
        <is>
          <t>Nghiệp vụ – Quy định BHYT</t>
        </is>
      </c>
      <c r="L120" s="10" t="inlineStr">
        <is>
          <t>Phòng BHYT</t>
        </is>
      </c>
      <c r="M120" s="10" t="inlineStr">
        <is>
          <t>Tiếp đón; CNTT</t>
        </is>
      </c>
      <c r="N120" s="10" t="inlineStr">
        <is>
          <t>Tiếp đón khai đúng mã đối tượng, giấy chuyển tuyến/hẹn, mức hưởng theo thẻ; HIS chặn khi thiếu</t>
        </is>
      </c>
      <c r="O120" s="10" t="inlineStr">
        <is>
          <t>#1</t>
        </is>
      </c>
      <c r="P120" s="17" t="n">
        <v>1</v>
      </c>
    </row>
    <row r="121">
      <c r="A121" s="10" t="n">
        <v>117</v>
      </c>
      <c r="B121" s="10" t="inlineStr">
        <is>
          <t>XML1_DOI_TUONG_KCB_THIEU_NOI_DI</t>
        </is>
      </c>
      <c r="C121" s="10" t="inlineStr">
        <is>
          <t>XML1</t>
        </is>
      </c>
      <c r="D121" s="10" t="inlineStr">
        <is>
          <t>Đến KCB có phiếu chuyển nhưng thiếu mã nơi chuyển đi</t>
        </is>
      </c>
      <c r="E121" s="10" t="inlineStr">
        <is>
          <t>Có</t>
        </is>
      </c>
      <c r="F121" s="10" t="inlineStr">
        <is>
          <t>Có</t>
        </is>
      </c>
      <c r="G121" s="12" t="n">
        <v>2</v>
      </c>
      <c r="H121" s="14">
        <f>G121/68213</f>
        <v/>
      </c>
      <c r="I121" s="10" t="inlineStr">
        <is>
          <t>Mã đối tượng 1.3 (Đến KCB có phiếu chuyển cơ sở KCB) nhưng MA_NOI_DI để trống</t>
        </is>
      </c>
      <c r="J121" s="10" t="inlineStr">
        <is>
          <t>Nghiệp vụ</t>
        </is>
      </c>
      <c r="K121" s="10" t="inlineStr">
        <is>
          <t>Nghiệp vụ – Quy định BHYT</t>
        </is>
      </c>
      <c r="L121" s="10" t="inlineStr">
        <is>
          <t>Phòng BHYT</t>
        </is>
      </c>
      <c r="M121" s="10" t="inlineStr">
        <is>
          <t>Tiếp đón; CNTT</t>
        </is>
      </c>
      <c r="N121" s="10" t="inlineStr">
        <is>
          <t>Tiếp đón khai đúng mã đối tượng, giấy chuyển tuyến/hẹn, mức hưởng theo thẻ; HIS chặn khi thiếu</t>
        </is>
      </c>
      <c r="O121" s="10" t="n"/>
      <c r="P121" s="17" t="n">
        <v>1</v>
      </c>
    </row>
    <row r="122">
      <c r="A122" s="10" t="n">
        <v>118</v>
      </c>
      <c r="B122" s="10" t="inlineStr">
        <is>
          <t>XML11_INFO_ERROR_MA_BHXH</t>
        </is>
      </c>
      <c r="C122" s="10" t="inlineStr">
        <is>
          <t>XML11</t>
        </is>
      </c>
      <c r="D122" s="10" t="inlineStr">
        <is>
          <t>Thiếu mã BHXH</t>
        </is>
      </c>
      <c r="E122" s="10" t="inlineStr">
        <is>
          <t>Có</t>
        </is>
      </c>
      <c r="F122" s="10" t="inlineStr">
        <is>
          <t>Có</t>
        </is>
      </c>
      <c r="G122" s="12" t="n">
        <v>1</v>
      </c>
      <c r="H122" s="14">
        <f>G122/68213</f>
        <v/>
      </c>
      <c r="I122" s="10" t="inlineStr">
        <is>
          <t>Mã BHXH không được để trống</t>
        </is>
      </c>
      <c r="J122" s="10" t="inlineStr">
        <is>
          <t>Nghiệp vụ</t>
        </is>
      </c>
      <c r="K122" s="10" t="inlineStr">
        <is>
          <t>Nghiệp vụ – Quy định BHYT</t>
        </is>
      </c>
      <c r="L122" s="10" t="inlineStr">
        <is>
          <t>Phòng BHYT</t>
        </is>
      </c>
      <c r="M122" s="10" t="inlineStr">
        <is>
          <t>Tiếp đón; CNTT</t>
        </is>
      </c>
      <c r="N122" s="10" t="inlineStr">
        <is>
          <t>Tiếp đón khai đúng mã đối tượng, giấy chuyển tuyến/hẹn, mức hưởng theo thẻ; HIS chặn khi thiếu</t>
        </is>
      </c>
      <c r="O122" s="10" t="n"/>
      <c r="P122" s="17" t="n">
        <v>1</v>
      </c>
    </row>
    <row r="123">
      <c r="A123" s="10" t="n">
        <v>119</v>
      </c>
      <c r="B123" s="10" t="inlineStr">
        <is>
          <t>XML11_INFO_ERROR_SO_CT</t>
        </is>
      </c>
      <c r="C123" s="10" t="inlineStr">
        <is>
          <t>XML11</t>
        </is>
      </c>
      <c r="D123" s="10" t="inlineStr">
        <is>
          <t>Thiếu số chứng từ</t>
        </is>
      </c>
      <c r="E123" s="10" t="inlineStr">
        <is>
          <t>Có</t>
        </is>
      </c>
      <c r="F123" s="10" t="inlineStr">
        <is>
          <t>Có</t>
        </is>
      </c>
      <c r="G123" s="12" t="n">
        <v>1</v>
      </c>
      <c r="H123" s="14">
        <f>G123/68213</f>
        <v/>
      </c>
      <c r="I123" s="10" t="inlineStr">
        <is>
          <t>Số chứng từ không được để trống</t>
        </is>
      </c>
      <c r="J123" s="10" t="inlineStr">
        <is>
          <t>Nghiệp vụ</t>
        </is>
      </c>
      <c r="K123" s="10" t="inlineStr">
        <is>
          <t>Nghiệp vụ – Chuyên môn lâm sàng</t>
        </is>
      </c>
      <c r="L123" s="10" t="inlineStr">
        <is>
          <t>Khoa lâm sàng</t>
        </is>
      </c>
      <c r="M123" s="10" t="inlineStr">
        <is>
          <t>Phòng KHTH</t>
        </is>
      </c>
      <c r="N123" s="10" t="inlineStr">
        <is>
          <t>Bác sĩ nhập đủ, đúng nội dung chuyên môn trên HIS; Phòng KHTH kiểm tra</t>
        </is>
      </c>
      <c r="O123" s="10" t="n"/>
      <c r="P123" s="17" t="n">
        <v>1</v>
      </c>
    </row>
    <row r="124">
      <c r="A124" s="10" t="n">
        <v>120</v>
      </c>
      <c r="B124" s="10" t="inlineStr">
        <is>
          <t>XML11_INFO_ERROR_SO_SERI</t>
        </is>
      </c>
      <c r="C124" s="10" t="inlineStr">
        <is>
          <t>XML11</t>
        </is>
      </c>
      <c r="D124" s="10" t="inlineStr">
        <is>
          <t>Thiếu số serial</t>
        </is>
      </c>
      <c r="E124" s="10" t="inlineStr">
        <is>
          <t>Có</t>
        </is>
      </c>
      <c r="F124" s="10" t="inlineStr">
        <is>
          <t>Có</t>
        </is>
      </c>
      <c r="G124" s="12" t="n">
        <v>1</v>
      </c>
      <c r="H124" s="14">
        <f>G124/68213</f>
        <v/>
      </c>
      <c r="I124" s="10" t="inlineStr">
        <is>
          <t>Số serial không được để trống</t>
        </is>
      </c>
      <c r="J124" s="10" t="inlineStr">
        <is>
          <t>Nghiệp vụ</t>
        </is>
      </c>
      <c r="K124" s="10" t="inlineStr">
        <is>
          <t>Nghiệp vụ – Chuyên môn lâm sàng</t>
        </is>
      </c>
      <c r="L124" s="10" t="inlineStr">
        <is>
          <t>Khoa lâm sàng</t>
        </is>
      </c>
      <c r="M124" s="10" t="inlineStr">
        <is>
          <t>Phòng KHTH</t>
        </is>
      </c>
      <c r="N124" s="10" t="inlineStr">
        <is>
          <t>Bác sĩ nhập đủ, đúng nội dung chuyên môn trên HIS; Phòng KHTH kiểm tra</t>
        </is>
      </c>
      <c r="O124" s="10" t="n"/>
      <c r="P124" s="17" t="n">
        <v>1</v>
      </c>
    </row>
    <row r="125">
      <c r="A125" s="10" t="n">
        <v>121</v>
      </c>
      <c r="B125" s="10" t="inlineStr">
        <is>
          <t>XML13_INFO_ERROR_MA_BENH_KT_NOT_FOUND</t>
        </is>
      </c>
      <c r="C125" s="10" t="inlineStr">
        <is>
          <t>XML13</t>
        </is>
      </c>
      <c r="D125" s="10" t="inlineStr">
        <is>
          <t>Mã bệnh kèm theo không tồn tại</t>
        </is>
      </c>
      <c r="E125" s="10" t="inlineStr">
        <is>
          <t>Có</t>
        </is>
      </c>
      <c r="F125" s="10" t="inlineStr">
        <is>
          <t>Có</t>
        </is>
      </c>
      <c r="G125" s="12" t="n">
        <v>1</v>
      </c>
      <c r="H125" s="14">
        <f>G125/68213</f>
        <v/>
      </c>
      <c r="I125" s="10" t="inlineStr">
        <is>
          <t xml:space="preserve">Mã bệnh kèm theo không tồn tại trong danh mục ICD10:  </t>
        </is>
      </c>
      <c r="J125" s="10" t="inlineStr">
        <is>
          <t>Nghiệp vụ</t>
        </is>
      </c>
      <c r="K125" s="10" t="inlineStr">
        <is>
          <t>Nghiệp vụ – Chuyên môn lâm sàng</t>
        </is>
      </c>
      <c r="L125" s="10" t="inlineStr">
        <is>
          <t>Khoa lâm sàng</t>
        </is>
      </c>
      <c r="M125" s="10" t="inlineStr">
        <is>
          <t>Phòng KHTH</t>
        </is>
      </c>
      <c r="N125" s="10" t="inlineStr">
        <is>
          <t>Bác sĩ nhập đủ, đúng nội dung chuyên môn trên HIS; Phòng KHTH kiểm tra</t>
        </is>
      </c>
      <c r="O125" s="10" t="inlineStr">
        <is>
          <t>#54</t>
        </is>
      </c>
      <c r="P125" s="17" t="n">
        <v>1</v>
      </c>
    </row>
    <row r="126">
      <c r="A126" s="10" t="n">
        <v>122</v>
      </c>
      <c r="B126" s="10" t="inlineStr">
        <is>
          <t>XML13_INFO_ERROR_MA_CSKCB_DEN_NOT_FOUND</t>
        </is>
      </c>
      <c r="C126" s="10" t="inlineStr">
        <is>
          <t>XML13</t>
        </is>
      </c>
      <c r="D126" s="10" t="inlineStr">
        <is>
          <t>Mã CSKCB đến không có trong danh mục</t>
        </is>
      </c>
      <c r="E126" s="10" t="inlineStr">
        <is>
          <t>Có</t>
        </is>
      </c>
      <c r="F126" s="10" t="inlineStr">
        <is>
          <t>Có</t>
        </is>
      </c>
      <c r="G126" s="12" t="n">
        <v>1</v>
      </c>
      <c r="H126" s="14">
        <f>G126/68213</f>
        <v/>
      </c>
      <c r="I126" s="10" t="inlineStr">
        <is>
          <t>Mã CSKCB đến: 38230b không có trong danh mục CSKCB</t>
        </is>
      </c>
      <c r="J126" s="10" t="inlineStr">
        <is>
          <t>Nghiệp vụ</t>
        </is>
      </c>
      <c r="K126" s="10" t="inlineStr">
        <is>
          <t>Nghiệp vụ – Hành chính, tiếp đón</t>
        </is>
      </c>
      <c r="L126" s="10" t="inlineStr">
        <is>
          <t>Tiếp đón</t>
        </is>
      </c>
      <c r="M126" s="10" t="inlineStr">
        <is>
          <t>Phòng BHYT</t>
        </is>
      </c>
      <c r="N126" s="10" t="inlineStr">
        <is>
          <t>Nhập đúng mã cơ sở KCB nơi đi/đến/ĐKBĐ (có mã gõ sai như 38230b)</t>
        </is>
      </c>
      <c r="O126" s="10" t="n"/>
      <c r="P126" s="17" t="n">
        <v>1</v>
      </c>
    </row>
    <row r="127">
      <c r="A127" s="10" t="n">
        <v>123</v>
      </c>
      <c r="B127" s="10" t="inlineStr">
        <is>
          <t>XML1_ADMIN_INFO_ERROR_MA_NOI_DEN_NOT_FOUND</t>
        </is>
      </c>
      <c r="C127" s="10" t="inlineStr">
        <is>
          <t>XML1</t>
        </is>
      </c>
      <c r="D127" s="10" t="inlineStr">
        <is>
          <t>Mã nơi đến không có trong danh mục</t>
        </is>
      </c>
      <c r="E127" s="10" t="inlineStr">
        <is>
          <t>Không</t>
        </is>
      </c>
      <c r="F127" s="10" t="inlineStr">
        <is>
          <t>Có</t>
        </is>
      </c>
      <c r="G127" s="12" t="n">
        <v>1</v>
      </c>
      <c r="H127" s="14">
        <f>G127/68213</f>
        <v/>
      </c>
      <c r="I127" s="10" t="inlineStr">
        <is>
          <t>Mã nơi đến: 38230b không có trong danh mục CSKCB</t>
        </is>
      </c>
      <c r="J127" s="10" t="inlineStr">
        <is>
          <t>Nghiệp vụ</t>
        </is>
      </c>
      <c r="K127" s="10" t="inlineStr">
        <is>
          <t>Nghiệp vụ – Hành chính, tiếp đón</t>
        </is>
      </c>
      <c r="L127" s="10" t="inlineStr">
        <is>
          <t>Tiếp đón</t>
        </is>
      </c>
      <c r="M127" s="10" t="inlineStr">
        <is>
          <t>Phòng BHYT</t>
        </is>
      </c>
      <c r="N127" s="10" t="inlineStr">
        <is>
          <t>Nhập đúng mã cơ sở KCB nơi đi/đến/ĐKBĐ (có mã gõ sai như 38230b)</t>
        </is>
      </c>
      <c r="O127" s="10" t="n"/>
      <c r="P127" s="17" t="n">
        <v>1</v>
      </c>
    </row>
    <row r="128">
      <c r="A128" s="10" t="n">
        <v>124</v>
      </c>
      <c r="B128" s="10" t="inlineStr">
        <is>
          <t>XML1_DOI_TUONG_KCB_DKBD_KHAC_CSKCB</t>
        </is>
      </c>
      <c r="C128" s="10" t="inlineStr">
        <is>
          <t>XML1</t>
        </is>
      </c>
      <c r="D128" s="10" t="inlineStr">
        <is>
          <t>Đến đúng nơi đăng ký ban đầu nhưng MA_DKBD khác MA_CSKCB</t>
        </is>
      </c>
      <c r="E128" s="10" t="inlineStr">
        <is>
          <t>Có</t>
        </is>
      </c>
      <c r="F128" s="10" t="inlineStr">
        <is>
          <t>Có</t>
        </is>
      </c>
      <c r="G128" s="12" t="n">
        <v>1</v>
      </c>
      <c r="H128" s="14">
        <f>G128/68213</f>
        <v/>
      </c>
      <c r="I128" s="10" t="inlineStr">
        <is>
          <t>Mã đối tượng 1.1 (Đến KCB đúng cơ sở nơi đăng ký KCB BHYT ban đầu) nhưng MA_DKBD có mã khác MA_CSKCB 37470: 01929</t>
        </is>
      </c>
      <c r="J128" s="10" t="inlineStr">
        <is>
          <t>Nghiệp vụ</t>
        </is>
      </c>
      <c r="K128" s="10" t="inlineStr">
        <is>
          <t>Nghiệp vụ – Quy định BHYT</t>
        </is>
      </c>
      <c r="L128" s="10" t="inlineStr">
        <is>
          <t>Phòng BHYT</t>
        </is>
      </c>
      <c r="M128" s="10" t="inlineStr">
        <is>
          <t>Tiếp đón; CNTT</t>
        </is>
      </c>
      <c r="N128" s="10" t="inlineStr">
        <is>
          <t>Tiếp đón khai đúng mã đối tượng, giấy chuyển tuyến/hẹn, mức hưởng theo thẻ; HIS chặn khi thiếu</t>
        </is>
      </c>
      <c r="O128" s="10" t="n"/>
      <c r="P128" s="17" t="n">
        <v>1</v>
      </c>
    </row>
    <row r="129">
      <c r="A129" s="10" t="n">
        <v>125</v>
      </c>
      <c r="B129" s="10" t="inlineStr">
        <is>
          <t>XML3_INFO_ERROR_MA_BENH_INVALID</t>
        </is>
      </c>
      <c r="C129" s="10" t="inlineStr">
        <is>
          <t>XML3</t>
        </is>
      </c>
      <c r="D129" s="10" t="inlineStr">
        <is>
          <t>Mã bệnh không tồn tại trong DM ICD10</t>
        </is>
      </c>
      <c r="E129" s="10" t="inlineStr">
        <is>
          <t>Có</t>
        </is>
      </c>
      <c r="F129" s="10" t="inlineStr">
        <is>
          <t>Có</t>
        </is>
      </c>
      <c r="G129" s="12" t="n">
        <v>1</v>
      </c>
      <c r="H129" s="14">
        <f>G129/68213</f>
        <v/>
      </c>
      <c r="I129" s="10" t="inlineStr">
        <is>
          <t>Mã bệnh không tồn tại trong danh mục ICD10: G05.1</t>
        </is>
      </c>
      <c r="J129" s="10" t="inlineStr">
        <is>
          <t>Nghiệp vụ</t>
        </is>
      </c>
      <c r="K129" s="10" t="inlineStr">
        <is>
          <t>Nghiệp vụ – Chuyên môn lâm sàng</t>
        </is>
      </c>
      <c r="L129" s="10" t="inlineStr">
        <is>
          <t>Khoa lâm sàng</t>
        </is>
      </c>
      <c r="M129" s="10" t="inlineStr">
        <is>
          <t>Phòng KHTH</t>
        </is>
      </c>
      <c r="N129" s="10" t="inlineStr">
        <is>
          <t>Bác sĩ nhập đủ, đúng nội dung chuyên môn trên HIS; Phòng KHTH kiểm tra</t>
        </is>
      </c>
      <c r="O129" s="10" t="inlineStr">
        <is>
          <t>#24</t>
        </is>
      </c>
      <c r="P129" s="17" t="n">
        <v>1</v>
      </c>
    </row>
    <row r="130">
      <c r="A130" s="10" t="n">
        <v>126</v>
      </c>
      <c r="B130" s="10" t="inlineStr">
        <is>
          <t>XML3_INFO_ERROR_MA_BENH_IN_YHCT</t>
        </is>
      </c>
      <c r="C130" s="10" t="inlineStr">
        <is>
          <t>XML3</t>
        </is>
      </c>
      <c r="D130" s="10" t="inlineStr">
        <is>
          <t>Mã bệnh thuộc bệnh YHCT</t>
        </is>
      </c>
      <c r="E130" s="10" t="inlineStr">
        <is>
          <t>Có</t>
        </is>
      </c>
      <c r="F130" s="10" t="inlineStr">
        <is>
          <t>Có</t>
        </is>
      </c>
      <c r="G130" s="12" t="n">
        <v>1</v>
      </c>
      <c r="H130" s="14">
        <f>G130/68213</f>
        <v/>
      </c>
      <c r="I130" s="10" t="inlineStr">
        <is>
          <t>Mã bệnh: U67.262.5 thuộc DM YHCT tương đương với: S06.5 trong DM ICD10</t>
        </is>
      </c>
      <c r="J130" s="10" t="inlineStr">
        <is>
          <t>Nghiệp vụ</t>
        </is>
      </c>
      <c r="K130" s="10" t="inlineStr">
        <is>
          <t>Nghiệp vụ – Chuyên môn lâm sàng</t>
        </is>
      </c>
      <c r="L130" s="10" t="inlineStr">
        <is>
          <t>Khoa lâm sàng</t>
        </is>
      </c>
      <c r="M130" s="10" t="inlineStr">
        <is>
          <t>Phòng KHTH</t>
        </is>
      </c>
      <c r="N130" s="10" t="inlineStr">
        <is>
          <t>Bác sĩ nhập đủ, đúng nội dung chuyên môn trên HIS; Phòng KHTH kiểm tra</t>
        </is>
      </c>
      <c r="O130" s="10" t="n"/>
      <c r="P130" s="17" t="n">
        <v>1</v>
      </c>
    </row>
    <row r="131">
      <c r="A131" s="10" t="n">
        <v>127</v>
      </c>
      <c r="B131" s="10" t="inlineStr">
        <is>
          <t>XML3_MA_KHOA_REQ_INVALID</t>
        </is>
      </c>
      <c r="C131" s="10" t="inlineStr">
        <is>
          <t>XML3</t>
        </is>
      </c>
      <c r="D131" s="10" t="inlineStr">
        <is>
          <t>Khoa chỉ định dịch vụ không hợp lệ</t>
        </is>
      </c>
      <c r="E131" s="10" t="inlineStr">
        <is>
          <t>Không</t>
        </is>
      </c>
      <c r="F131" s="10" t="inlineStr">
        <is>
          <t>Có</t>
        </is>
      </c>
      <c r="G131" s="12" t="n">
        <v>1</v>
      </c>
      <c r="H131" s="14">
        <f>G131/68213</f>
        <v/>
      </c>
      <c r="I131" s="10" t="inlineStr">
        <is>
          <t>Khoa khám bệnh: K01; không được chỉ định: Đo hoạt độ AST (GOT) [Máu]; Đối với BN Nội trú - Trái tuyến</t>
        </is>
      </c>
      <c r="J131" s="10" t="inlineStr">
        <is>
          <t>Nghiệp vụ</t>
        </is>
      </c>
      <c r="K131" s="10" t="inlineStr">
        <is>
          <t>Nghiệp vụ – Quy định BHYT</t>
        </is>
      </c>
      <c r="L131" s="10" t="inlineStr">
        <is>
          <t>Phòng BHYT</t>
        </is>
      </c>
      <c r="M131" s="10" t="inlineStr">
        <is>
          <t>Khoa lâm sàng; CNTT</t>
        </is>
      </c>
      <c r="N131" s="10" t="inlineStr">
        <is>
          <t>Rà soát chỉ định ngày giường, công khám, khoa chỉ định đúng quy định BHYT</t>
        </is>
      </c>
      <c r="O131" s="10" t="n"/>
      <c r="P131" s="17" t="n">
        <v>1</v>
      </c>
    </row>
    <row r="132">
      <c r="A132" s="10" t="n">
        <v>128</v>
      </c>
      <c r="B132" s="10" t="inlineStr">
        <is>
          <t>XML7_NGOAITRU_TUNGAY_BEFORE_NGAY_RA</t>
        </is>
      </c>
      <c r="C132" s="10" t="inlineStr">
        <is>
          <t>XML7</t>
        </is>
      </c>
      <c r="D132" s="10" t="inlineStr">
        <is>
          <t>Bắt đầu nghỉ ngoại trú trước ngày ra viện</t>
        </is>
      </c>
      <c r="E132" s="10" t="inlineStr">
        <is>
          <t>Có</t>
        </is>
      </c>
      <c r="F132" s="10" t="inlineStr">
        <is>
          <t>Có</t>
        </is>
      </c>
      <c r="G132" s="12" t="n">
        <v>1</v>
      </c>
      <c r="H132" s="14">
        <f>G132/68213</f>
        <v/>
      </c>
      <c r="I132" s="10" t="inlineStr">
        <is>
          <t>Từ ngày ngoại trú (03/10/2026) &lt; ngày ra (05/10/2026 14:12)</t>
        </is>
      </c>
      <c r="J132" s="10" t="inlineStr">
        <is>
          <t>Nghiệp vụ</t>
        </is>
      </c>
      <c r="K132" s="10" t="inlineStr">
        <is>
          <t>Nghiệp vụ – Chuyên môn lâm sàng</t>
        </is>
      </c>
      <c r="L132" s="10" t="inlineStr">
        <is>
          <t>Khoa lâm sàng</t>
        </is>
      </c>
      <c r="M132" s="10" t="inlineStr">
        <is>
          <t>Phòng KHTH</t>
        </is>
      </c>
      <c r="N132" s="10" t="inlineStr">
        <is>
          <t>Bác sĩ nhập đủ, đúng nội dung chuyên môn trên HIS; Phòng KHTH kiểm tra</t>
        </is>
      </c>
      <c r="O132" s="10" t="n"/>
      <c r="P132" s="17" t="n">
        <v>1</v>
      </c>
    </row>
    <row r="133">
      <c r="A133" s="10" t="n">
        <v>129</v>
      </c>
      <c r="B133" s="10" t="inlineStr">
        <is>
          <t>XMLComplete_CAN_NANG_CON_THIEU_XML9</t>
        </is>
      </c>
      <c r="C133" s="10" t="inlineStr">
        <is>
          <t>XMLComplete</t>
        </is>
      </c>
      <c r="D133" s="10" t="inlineStr">
        <is>
          <t>Có cân nặng con nhưng thiếu giấy chứng sinh</t>
        </is>
      </c>
      <c r="E133" s="10" t="inlineStr">
        <is>
          <t>Không</t>
        </is>
      </c>
      <c r="F133" s="10" t="inlineStr">
        <is>
          <t>Có</t>
        </is>
      </c>
      <c r="G133" s="12" t="n">
        <v>1</v>
      </c>
      <c r="H133" s="14">
        <f>G133/68213</f>
        <v/>
      </c>
      <c r="I133" s="10" t="inlineStr">
        <is>
          <t>CAN_NANG_CON = 3400 (chỉ ghi khi sinh con) nhưng hồ sơ không có dòng XML9 nào</t>
        </is>
      </c>
      <c r="J133" s="10" t="inlineStr">
        <is>
          <t>Kỹ thuật</t>
        </is>
      </c>
      <c r="K133" s="10" t="inlineStr">
        <is>
          <t>Kỹ thuật – HIS</t>
        </is>
      </c>
      <c r="L133" s="10" t="inlineStr">
        <is>
          <t>CNTT</t>
        </is>
      </c>
      <c r="M133" s="10" t="inlineStr">
        <is>
          <t>Phòng KHTH; Khoa Dược</t>
        </is>
      </c>
      <c r="N133" s="10" t="inlineStr">
        <is>
          <t>Sửa ánh xạ/định dạng dữ liệu khi HIS xuất XML; bắt buộc nhập trường còn thiếu</t>
        </is>
      </c>
      <c r="O133" s="10" t="inlineStr">
        <is>
          <t>#11</t>
        </is>
      </c>
      <c r="P133" s="17" t="n">
        <v>1</v>
      </c>
    </row>
    <row r="134">
      <c r="A134" s="10" t="n">
        <v>130</v>
      </c>
      <c r="B134" s="10" t="inlineStr">
        <is>
          <t>XML1_ADMIN_INFO_ERROR_LY_DO_VV</t>
        </is>
      </c>
      <c r="C134" s="10" t="inlineStr">
        <is>
          <t>XML1</t>
        </is>
      </c>
      <c r="D134" s="10" t="inlineStr">
        <is>
          <t>Thiếu lý do vào viện</t>
        </is>
      </c>
      <c r="E134" s="10" t="inlineStr">
        <is>
          <t>Có</t>
        </is>
      </c>
      <c r="F134" s="10" t="inlineStr">
        <is>
          <t>Có</t>
        </is>
      </c>
      <c r="G134" s="12" t="n">
        <v>1</v>
      </c>
      <c r="H134" s="14">
        <f>G134/68213</f>
        <v/>
      </c>
      <c r="I134" s="10" t="inlineStr">
        <is>
          <t>Lý do vào viện không được để trống</t>
        </is>
      </c>
      <c r="J134" s="10" t="inlineStr">
        <is>
          <t>Nghiệp vụ</t>
        </is>
      </c>
      <c r="K134" s="10" t="inlineStr">
        <is>
          <t>Nghiệp vụ – Chuyên môn lâm sàng</t>
        </is>
      </c>
      <c r="L134" s="10" t="inlineStr">
        <is>
          <t>Khoa lâm sàng</t>
        </is>
      </c>
      <c r="M134" s="10" t="inlineStr">
        <is>
          <t>Phòng KHTH</t>
        </is>
      </c>
      <c r="N134" s="10" t="inlineStr">
        <is>
          <t>Bác sĩ nhập đủ, đúng nội dung chuyên môn trên HIS; Phòng KHTH kiểm tra</t>
        </is>
      </c>
      <c r="O134" s="10" t="inlineStr">
        <is>
          <t>#5</t>
        </is>
      </c>
      <c r="P134" s="17" t="n">
        <v>0</v>
      </c>
    </row>
    <row r="135">
      <c r="A135" s="10" t="n">
        <v>131</v>
      </c>
      <c r="B135" s="10" t="inlineStr">
        <is>
          <t>XML1_DOI_TUONG_KCB_DUNG_DKBD_SAI_MA</t>
        </is>
      </c>
      <c r="C135" s="10" t="inlineStr">
        <is>
          <t>XML1</t>
        </is>
      </c>
      <c r="D135" s="10" t="inlineStr">
        <is>
          <t>Đến đúng nơi đăng ký ban đầu nhưng khai mã đối tượng khẳng định đến từ nơi khác</t>
        </is>
      </c>
      <c r="E135" s="10" t="inlineStr">
        <is>
          <t>Có</t>
        </is>
      </c>
      <c r="F135" s="10" t="inlineStr">
        <is>
          <t>Có</t>
        </is>
      </c>
      <c r="G135" s="12" t="n">
        <v>1</v>
      </c>
      <c r="H135" s="14">
        <f>G135/68213</f>
        <v/>
      </c>
      <c r="I135" s="10" t="inlineStr">
        <is>
          <t>MA_CSKCB 01929 nằm trong MA_DKBD (01929) nhưng mã đối tượng khai là 1.17, vốn khẳng định người bệnh đến từ nơi khác (tự đến hoặc có phiếu chuyển)</t>
        </is>
      </c>
      <c r="J135" s="10" t="inlineStr">
        <is>
          <t>Nghiệp vụ</t>
        </is>
      </c>
      <c r="K135" s="10" t="inlineStr">
        <is>
          <t>Nghiệp vụ – Quy định BHYT</t>
        </is>
      </c>
      <c r="L135" s="10" t="inlineStr">
        <is>
          <t>Phòng BHYT</t>
        </is>
      </c>
      <c r="M135" s="10" t="inlineStr">
        <is>
          <t>Tiếp đón; CNTT</t>
        </is>
      </c>
      <c r="N135" s="10" t="inlineStr">
        <is>
          <t>Tiếp đón khai đúng mã đối tượng, giấy chuyển tuyến/hẹn, mức hưởng theo thẻ; HIS chặn khi thiếu</t>
        </is>
      </c>
      <c r="O135" s="10" t="n"/>
      <c r="P135" s="17" t="n">
        <v>0</v>
      </c>
    </row>
    <row r="136">
      <c r="A136" s="10" t="n">
        <v>132</v>
      </c>
      <c r="B136" s="10" t="inlineStr">
        <is>
          <t>XML2_INVALID_ORDER_TIME</t>
        </is>
      </c>
      <c r="C136" s="10" t="inlineStr">
        <is>
          <t>XML2</t>
        </is>
      </c>
      <c r="D136" s="10" t="inlineStr">
        <is>
          <t>Thời gian y lệnh không hợp lệ</t>
        </is>
      </c>
      <c r="E136" s="10" t="inlineStr">
        <is>
          <t>Có</t>
        </is>
      </c>
      <c r="F136" s="10" t="inlineStr">
        <is>
          <t>Có</t>
        </is>
      </c>
      <c r="G136" s="12" t="n">
        <v>1</v>
      </c>
      <c r="H136" s="14">
        <f>G136/68213</f>
        <v/>
      </c>
      <c r="I136" s="10" t="inlineStr">
        <is>
          <t>Thời gian y lệnh nhỏ hơn ngày vào hoặc lớn hơn ngày ra (Mã thuốc: 40.646)</t>
        </is>
      </c>
      <c r="J136" s="10" t="inlineStr">
        <is>
          <t>Nghiệp vụ</t>
        </is>
      </c>
      <c r="K136" s="10" t="inlineStr">
        <is>
          <t>Nghiệp vụ – Chuyên môn lâm sàng</t>
        </is>
      </c>
      <c r="L136" s="10" t="inlineStr">
        <is>
          <t>Khoa lâm sàng</t>
        </is>
      </c>
      <c r="M136" s="10" t="inlineStr">
        <is>
          <t>Phòng KHTH; CNTT</t>
        </is>
      </c>
      <c r="N136" s="10" t="inlineStr">
        <is>
          <t>Rà soát quy trình chỉ định – thực hiện; không gán giờ/người đồng loạt</t>
        </is>
      </c>
      <c r="O136" s="10" t="inlineStr">
        <is>
          <t>#21</t>
        </is>
      </c>
      <c r="P136" s="17" t="n">
        <v>0</v>
      </c>
    </row>
    <row r="137">
      <c r="A137" s="10" t="n">
        <v>133</v>
      </c>
      <c r="B137" s="10" t="inlineStr">
        <is>
          <t>XML2_MISSING_DRUG_CODE</t>
        </is>
      </c>
      <c r="C137" s="10" t="inlineStr">
        <is>
          <t>XML2</t>
        </is>
      </c>
      <c r="D137" s="10" t="inlineStr">
        <is>
          <t>XML2_MISSING_DRUG_CODE</t>
        </is>
      </c>
      <c r="E137" s="10" t="inlineStr">
        <is>
          <t>Có</t>
        </is>
      </c>
      <c r="F137" s="10" t="inlineStr">
        <is>
          <t>Có</t>
        </is>
      </c>
      <c r="G137" s="12" t="n">
        <v>1</v>
      </c>
      <c r="H137" s="14">
        <f>G137/68213</f>
        <v/>
      </c>
      <c r="I137" s="10" t="inlineStr">
        <is>
          <t>Không có mã thuốc</t>
        </is>
      </c>
      <c r="J137" s="10" t="inlineStr">
        <is>
          <t>Nghiệp vụ</t>
        </is>
      </c>
      <c r="K137" s="10" t="inlineStr">
        <is>
          <t>Nghiệp vụ – Danh mục</t>
        </is>
      </c>
      <c r="L137" s="10" t="inlineStr">
        <is>
          <t>Khoa Dược</t>
        </is>
      </c>
      <c r="M137" s="10" t="inlineStr">
        <is>
          <t>Phòng BHYT; CNTT</t>
        </is>
      </c>
      <c r="N137" s="10" t="inlineStr">
        <is>
          <t>Khoa Dược đối chiếu danh mục thuốc trên HIS với danh mục được duyệt (mã, tên, hàm lượng, SĐK, thầu, đường dùng, dạng bào chế, ĐVT, giá)</t>
        </is>
      </c>
      <c r="O137" s="10" t="inlineStr">
        <is>
          <t>#18, #19</t>
        </is>
      </c>
      <c r="P137" s="17" t="n"/>
    </row>
    <row r="138">
      <c r="A138" s="10" t="n">
        <v>134</v>
      </c>
      <c r="B138" s="10" t="inlineStr">
        <is>
          <t>XML2_MISSING_REGISTRATION_NUMBER</t>
        </is>
      </c>
      <c r="C138" s="10" t="inlineStr">
        <is>
          <t>XML2</t>
        </is>
      </c>
      <c r="D138" s="10" t="inlineStr">
        <is>
          <t>XML2_MISSING_REGISTRATION_NUMBER</t>
        </is>
      </c>
      <c r="E138" s="10" t="inlineStr">
        <is>
          <t>Có</t>
        </is>
      </c>
      <c r="F138" s="10" t="inlineStr">
        <is>
          <t>Có</t>
        </is>
      </c>
      <c r="G138" s="12" t="n">
        <v>1</v>
      </c>
      <c r="H138" s="14">
        <f>G138/68213</f>
        <v/>
      </c>
      <c r="I138" s="10" t="inlineStr">
        <is>
          <t>; Không có số đăng ký thuốc</t>
        </is>
      </c>
      <c r="J138" s="10" t="inlineStr">
        <is>
          <t>Nghiệp vụ</t>
        </is>
      </c>
      <c r="K138" s="10" t="inlineStr">
        <is>
          <t>Nghiệp vụ – Danh mục</t>
        </is>
      </c>
      <c r="L138" s="10" t="inlineStr">
        <is>
          <t>Khoa Dược</t>
        </is>
      </c>
      <c r="M138" s="10" t="inlineStr">
        <is>
          <t>Phòng BHYT; CNTT</t>
        </is>
      </c>
      <c r="N138" s="10" t="inlineStr">
        <is>
          <t>Khoa Dược đối chiếu danh mục thuốc trên HIS với danh mục được duyệt (mã, tên, hàm lượng, SĐK, thầu, đường dùng, dạng bào chế, ĐVT, giá)</t>
        </is>
      </c>
      <c r="O138" s="10" t="n"/>
      <c r="P138" s="17" t="n"/>
    </row>
    <row r="139">
      <c r="A139" s="10" t="n">
        <v>135</v>
      </c>
      <c r="B139" s="10" t="inlineStr">
        <is>
          <t>XML2_MISSING_TT_THAU</t>
        </is>
      </c>
      <c r="C139" s="10" t="inlineStr">
        <is>
          <t>XML2</t>
        </is>
      </c>
      <c r="D139" s="10" t="inlineStr">
        <is>
          <t>XML2_MISSING_TT_THAU</t>
        </is>
      </c>
      <c r="E139" s="10" t="inlineStr">
        <is>
          <t>Có</t>
        </is>
      </c>
      <c r="F139" s="10" t="inlineStr">
        <is>
          <t>Có</t>
        </is>
      </c>
      <c r="G139" s="12" t="n">
        <v>1</v>
      </c>
      <c r="H139" s="14">
        <f>G139/68213</f>
        <v/>
      </c>
      <c r="I139" s="10" t="inlineStr">
        <is>
          <t>; Không có TT_THAU</t>
        </is>
      </c>
      <c r="J139" s="10" t="inlineStr">
        <is>
          <t>Nghiệp vụ</t>
        </is>
      </c>
      <c r="K139" s="10" t="inlineStr">
        <is>
          <t>Nghiệp vụ – Danh mục</t>
        </is>
      </c>
      <c r="L139" s="10" t="inlineStr">
        <is>
          <t>Khoa Dược</t>
        </is>
      </c>
      <c r="M139" s="10" t="inlineStr">
        <is>
          <t>Phòng BHYT; CNTT</t>
        </is>
      </c>
      <c r="N139" s="10" t="inlineStr">
        <is>
          <t>Khoa Dược đối chiếu danh mục thuốc trên HIS với danh mục được duyệt (mã, tên, hàm lượng, SĐK, thầu, đường dùng, dạng bào chế, ĐVT, giá)</t>
        </is>
      </c>
      <c r="O139" s="10" t="n"/>
      <c r="P139" s="17" t="n"/>
    </row>
    <row r="140">
      <c r="A140" s="10" t="n">
        <v>136</v>
      </c>
      <c r="B140" s="10" t="inlineStr">
        <is>
          <t>XMLComplete_INVALID_EXPENSE_T_BHTT</t>
        </is>
      </c>
      <c r="C140" s="10" t="inlineStr">
        <is>
          <t>XMLComplete</t>
        </is>
      </c>
      <c r="D140" s="10" t="inlineStr">
        <is>
          <t>Tiền BHTT không khớp</t>
        </is>
      </c>
      <c r="E140" s="10" t="inlineStr">
        <is>
          <t>Có</t>
        </is>
      </c>
      <c r="F140" s="10" t="inlineStr">
        <is>
          <t>Có</t>
        </is>
      </c>
      <c r="G140" s="12" t="n">
        <v>1</v>
      </c>
      <c r="H140" s="14">
        <f>G140/68213</f>
        <v/>
      </c>
      <c r="I140" s="10" t="inlineStr">
        <is>
          <t>Tiền BHTT trong XML1: 14,709,559 &lt;&gt; chi phí T_TONGCHI_BH trong XML1 - T_BNCCT trong XML1: 18,029,741</t>
        </is>
      </c>
      <c r="J140" s="10" t="inlineStr">
        <is>
          <t>Kỹ thuật</t>
        </is>
      </c>
      <c r="K140" s="10" t="inlineStr">
        <is>
          <t>Kỹ thuật – HIS</t>
        </is>
      </c>
      <c r="L140" s="10" t="inlineStr">
        <is>
          <t>CNTT</t>
        </is>
      </c>
      <c r="M140" s="10" t="inlineStr">
        <is>
          <t>Phòng TCKT; Phòng BHYT</t>
        </is>
      </c>
      <c r="N140" s="10" t="inlineStr">
        <is>
          <t>Sửa công thức tính tiền/tỷ lệ/nguồn chi trả trên HIS</t>
        </is>
      </c>
      <c r="O140" s="10" t="n"/>
      <c r="P140" s="17" t="n">
        <v>0</v>
      </c>
    </row>
    <row r="141">
      <c r="A141" s="10" t="n">
        <v>137</v>
      </c>
      <c r="B141" s="10" t="inlineStr">
        <is>
          <t>XMLComplete_MUC_HUONG_TRAI_TUYEN_TW</t>
        </is>
      </c>
      <c r="C141" s="10" t="inlineStr">
        <is>
          <t>XMLComplete</t>
        </is>
      </c>
      <c r="D141" s="10" t="inlineStr">
        <is>
          <t>XMLComplete_MUC_HUONG_TRAI_TUYEN_TW</t>
        </is>
      </c>
      <c r="E141" s="10" t="inlineStr">
        <is>
          <t>Có</t>
        </is>
      </c>
      <c r="F141" s="10" t="inlineStr">
        <is>
          <t>Có</t>
        </is>
      </c>
      <c r="G141" s="12" t="n">
        <v>1</v>
      </c>
      <c r="H141" s="14">
        <f>G141/68213</f>
        <v/>
      </c>
      <c r="I141" s="10" t="inlineStr">
        <is>
          <t>Hồ sơ trái tuyến nội trú tuyến TW: mức hưởng khai tối đa 95%, trần cho phép 38% (quyền lợi thẻ 95%).</t>
        </is>
      </c>
      <c r="J141" s="10" t="inlineStr">
        <is>
          <t>Nghiệp vụ</t>
        </is>
      </c>
      <c r="K141" s="10" t="inlineStr">
        <is>
          <t>Nghiệp vụ – Quy định BHYT</t>
        </is>
      </c>
      <c r="L141" s="10" t="inlineStr">
        <is>
          <t>Phòng BHYT</t>
        </is>
      </c>
      <c r="M141" s="10" t="inlineStr">
        <is>
          <t>Tiếp đón; CNTT</t>
        </is>
      </c>
      <c r="N141" s="10" t="inlineStr">
        <is>
          <t>Tiếp đón khai đúng mã đối tượng, giấy chuyển tuyến/hẹn, mức hưởng theo thẻ; HIS chặn khi thiếu</t>
        </is>
      </c>
      <c r="O141" s="10" t="n"/>
      <c r="P141" s="17" t="n"/>
    </row>
    <row r="142">
      <c r="A142" s="10" t="n">
        <v>138</v>
      </c>
      <c r="B142" s="10" t="inlineStr">
        <is>
          <t>XML4_MA_CHI_SO_EMPTY</t>
        </is>
      </c>
      <c r="C142" s="10" t="inlineStr">
        <is>
          <t>XML4</t>
        </is>
      </c>
      <c r="D142" s="10" t="inlineStr">
        <is>
          <t>Mã chỉ số để trống</t>
        </is>
      </c>
      <c r="E142" s="10" t="inlineStr">
        <is>
          <t>Không</t>
        </is>
      </c>
      <c r="F142" s="10" t="inlineStr">
        <is>
          <t>Không</t>
        </is>
      </c>
      <c r="G142" s="12" t="n">
        <v>0</v>
      </c>
      <c r="H142" s="14">
        <f>G142/68213</f>
        <v/>
      </c>
      <c r="I142" s="10" t="inlineStr">
        <is>
          <t>Từ 15/10/2026 gộp vào XML4_CHI_SO_EMPTY (kiểm lại 16/10/2026: 42.590 HS)</t>
        </is>
      </c>
      <c r="J142" s="10" t="inlineStr">
        <is>
          <t>Kỹ thuật</t>
        </is>
      </c>
      <c r="K142" s="10" t="inlineStr">
        <is>
          <t>Kỹ thuật – Tích hợp HIS–LIS</t>
        </is>
      </c>
      <c r="L142" s="10" t="inlineStr">
        <is>
          <t>CNTT</t>
        </is>
      </c>
      <c r="M142" s="10" t="inlineStr">
        <is>
          <t>Hãng LIS (Mitalab); Khoa Xét nghiệm</t>
        </is>
      </c>
      <c r="N142" s="10" t="inlineStr">
        <is>
          <t>Bổ sung ánh xạ mã/tên chỉ số trên kết nối LIS → HIS cho từng xét nghiệm</t>
        </is>
      </c>
      <c r="O142" s="10" t="n"/>
      <c r="P142" s="17" t="n">
        <v>34755</v>
      </c>
    </row>
    <row r="143">
      <c r="A143" s="10" t="n">
        <v>139</v>
      </c>
      <c r="B143" s="10" t="inlineStr">
        <is>
          <t>XML4_TEN_CHI_SO_EMPTY</t>
        </is>
      </c>
      <c r="C143" s="10" t="inlineStr">
        <is>
          <t>XML4</t>
        </is>
      </c>
      <c r="D143" s="10" t="inlineStr">
        <is>
          <t>Tên chỉ số để trống</t>
        </is>
      </c>
      <c r="E143" s="10" t="inlineStr">
        <is>
          <t>Không</t>
        </is>
      </c>
      <c r="F143" s="10" t="inlineStr">
        <is>
          <t>Không</t>
        </is>
      </c>
      <c r="G143" s="12" t="n">
        <v>0</v>
      </c>
      <c r="H143" s="14">
        <f>G143/68213</f>
        <v/>
      </c>
      <c r="I143" s="10" t="inlineStr">
        <is>
          <t>Từ 15/10/2026 gộp vào XML4_CHI_SO_EMPTY (kiểm lại 16/10/2026: 42.590 HS)</t>
        </is>
      </c>
      <c r="J143" s="10" t="inlineStr">
        <is>
          <t>Kỹ thuật</t>
        </is>
      </c>
      <c r="K143" s="10" t="inlineStr">
        <is>
          <t>Kỹ thuật – Tích hợp HIS–LIS</t>
        </is>
      </c>
      <c r="L143" s="10" t="inlineStr">
        <is>
          <t>CNTT</t>
        </is>
      </c>
      <c r="M143" s="10" t="inlineStr">
        <is>
          <t>Hãng LIS (Mitalab); Khoa Xét nghiệm</t>
        </is>
      </c>
      <c r="N143" s="10" t="inlineStr">
        <is>
          <t>Bổ sung ánh xạ mã/tên chỉ số trên kết nối LIS → HIS cho từng xét nghiệm</t>
        </is>
      </c>
      <c r="O143" s="10" t="n"/>
      <c r="P143" s="17" t="n">
        <v>34754</v>
      </c>
    </row>
    <row r="144">
      <c r="A144" s="10" t="n">
        <v>140</v>
      </c>
      <c r="B144" s="10" t="inlineStr">
        <is>
          <t>XML4_INFO_ERROR_MA_BS_DOC_KQ_NOT_FOUND</t>
        </is>
      </c>
      <c r="C144" s="10" t="inlineStr">
        <is>
          <t>XML4</t>
        </is>
      </c>
      <c r="D144" s="10" t="inlineStr">
        <is>
          <t>Mã bác sĩ đọc kết quả chưa được duyệt</t>
        </is>
      </c>
      <c r="E144" s="10" t="inlineStr">
        <is>
          <t>Không</t>
        </is>
      </c>
      <c r="F144" s="10" t="inlineStr">
        <is>
          <t>Không</t>
        </is>
      </c>
      <c r="G144" s="12" t="n">
        <v>0</v>
      </c>
      <c r="H144" s="14">
        <f>G144/68213</f>
        <v/>
      </c>
      <c r="I144" s="10" t="inlineStr">
        <is>
          <t>Từ 15/10/2026 gộp vào XMLComplete_NVYT_KHONG_CO_TRONG_DM / _SAI_DINH_DANG; phần tương ứng (BS đọc KQ XML4) khi kiểm lại 16/10/2026: 22.717 HS</t>
        </is>
      </c>
      <c r="J144" s="10" t="inlineStr">
        <is>
          <t>Kỹ thuật</t>
        </is>
      </c>
      <c r="K144" s="10" t="inlineStr">
        <is>
          <t>Kỹ thuật – Tích hợp HIS–PACS/LIS</t>
        </is>
      </c>
      <c r="L144" s="10" t="inlineStr">
        <is>
          <t>CNTT</t>
        </is>
      </c>
      <c r="M144" s="10" t="inlineStr">
        <is>
          <t>Hãng PACS (Vietrad); Hãng LIS (Mitalab); Phòng TCCB</t>
        </is>
      </c>
      <c r="N144" s="10" t="inlineStr">
        <is>
          <t>PACS/LIS phải trả mã CCHN của người ký kết quả, không trả tài khoản máy (vietrad, mitalab, sys) hay tên đăng nhập; CCHN chưa có trong DM thì TCCB bổ sung</t>
        </is>
      </c>
      <c r="O144" s="10" t="inlineStr">
        <is>
          <t>#39</t>
        </is>
      </c>
      <c r="P144" s="17" t="n">
        <v>20323</v>
      </c>
    </row>
    <row r="145">
      <c r="A145" s="10" t="n">
        <v>141</v>
      </c>
      <c r="B145" s="10" t="inlineStr">
        <is>
          <t>XML3_INFO_ERROR_NGUOI_THUC_HIEN_NOT_FOUND</t>
        </is>
      </c>
      <c r="C145" s="10" t="inlineStr">
        <is>
          <t>XML3</t>
        </is>
      </c>
      <c r="D145" s="10" t="inlineStr">
        <is>
          <t>Người thực hiện không tồn tại</t>
        </is>
      </c>
      <c r="E145" s="10" t="inlineStr">
        <is>
          <t>Có</t>
        </is>
      </c>
      <c r="F145" s="10" t="inlineStr">
        <is>
          <t>Không</t>
        </is>
      </c>
      <c r="G145" s="12" t="n">
        <v>0</v>
      </c>
      <c r="H145" s="14">
        <f>G145/68213</f>
        <v/>
      </c>
      <c r="I145" s="10" t="inlineStr">
        <is>
          <t>Từ 15/10/2026 gộp vào XMLComplete_NVYT_KHONG_CO_TRONG_DM / _SAI_DINH_DANG; phần tương ứng (người thực hiện XML3) khi kiểm lại 16/10/2026: 17.970 HS</t>
        </is>
      </c>
      <c r="J145" s="10" t="inlineStr">
        <is>
          <t>Nghiệp vụ</t>
        </is>
      </c>
      <c r="K145" s="10" t="inlineStr">
        <is>
          <t>Nghiệp vụ – Danh mục</t>
        </is>
      </c>
      <c r="L145" s="10" t="inlineStr">
        <is>
          <t>Phòng TCCB</t>
        </is>
      </c>
      <c r="M145" s="10" t="inlineStr">
        <is>
          <t>Phòng BHYT; CNTT</t>
        </is>
      </c>
      <c r="N145" s="10" t="inlineStr">
        <is>
          <t>Đăng ký bổ sung NVYT lên cổng BHXH; ~3.360 hồ sơ HIS gửi số CCCD (12 số) thay cho mã CCHN → CNTT sửa ánh xạ</t>
        </is>
      </c>
      <c r="O145" s="10" t="inlineStr">
        <is>
          <t>#35</t>
        </is>
      </c>
      <c r="P145" s="17" t="n">
        <v>15854</v>
      </c>
    </row>
    <row r="146">
      <c r="A146" s="10" t="n">
        <v>142</v>
      </c>
      <c r="B146" s="10" t="inlineStr">
        <is>
          <t>XML3_INFO_ERROR_GROUP_CODE_NGUOI_THUC_HIEN</t>
        </is>
      </c>
      <c r="C146" s="10" t="inlineStr">
        <is>
          <t>XML3</t>
        </is>
      </c>
      <c r="D146" s="10" t="inlineStr">
        <is>
          <t>Thiếu người thực hiện</t>
        </is>
      </c>
      <c r="E146" s="10" t="inlineStr">
        <is>
          <t>Có</t>
        </is>
      </c>
      <c r="F146" s="10" t="inlineStr">
        <is>
          <t>Không</t>
        </is>
      </c>
      <c r="G146" s="12" t="n">
        <v>0</v>
      </c>
      <c r="H146" s="14">
        <f>G146/68213</f>
        <v/>
      </c>
      <c r="I146" s="10" t="inlineStr">
        <is>
          <t>Từ 15/10/2026 gộp vào XMLComplete_NVYT_THIEU; phần tương ứng (người thực hiện XML3) khi kiểm lại 16/10/2026: 10.751 HS</t>
        </is>
      </c>
      <c r="J146" s="10" t="inlineStr">
        <is>
          <t>Kỹ thuật</t>
        </is>
      </c>
      <c r="K146" s="10" t="inlineStr">
        <is>
          <t>Kỹ thuật – Tích hợp HIS–PACS/LIS</t>
        </is>
      </c>
      <c r="L146" s="10" t="inlineStr">
        <is>
          <t>CNTT</t>
        </is>
      </c>
      <c r="M146" s="10" t="inlineStr">
        <is>
          <t>Khoa Xét nghiệm; Khoa CĐHA; Khoa lâm sàng</t>
        </is>
      </c>
      <c r="N146" s="10" t="inlineStr">
        <is>
          <t>HIS bắt buộc người thực hiện với DVKT nhóm 1,2,3,8,18; PACS/LIS trả người thực hiện về HIS</t>
        </is>
      </c>
      <c r="O146" s="10" t="inlineStr">
        <is>
          <t>#35</t>
        </is>
      </c>
      <c r="P146" s="17" t="n">
        <v>9856</v>
      </c>
    </row>
    <row r="147">
      <c r="A147" s="10" t="n">
        <v>143</v>
      </c>
      <c r="B147" s="10" t="inlineStr">
        <is>
          <t>XML2_INVALID_DON_VI_TINH</t>
        </is>
      </c>
      <c r="C147" s="10" t="inlineStr">
        <is>
          <t>XML2</t>
        </is>
      </c>
      <c r="D147" s="10" t="inlineStr">
        <is>
          <t>Đơn vị tính không khớp danh mục</t>
        </is>
      </c>
      <c r="E147" s="10" t="inlineStr">
        <is>
          <t>Không</t>
        </is>
      </c>
      <c r="F147" s="10" t="inlineStr">
        <is>
          <t>Không</t>
        </is>
      </c>
      <c r="G147" s="12" t="n">
        <v>0</v>
      </c>
      <c r="H147" s="14">
        <f>G147/68213</f>
        <v/>
      </c>
      <c r="I147" s="10" t="inlineStr">
        <is>
          <t>Đang tắt kiểm (danh mục mã lỗi is_check = 0) nên không còn báo. Mã thuốc: 40.982; Đơn vị tính không khớp danh mục: "Bình" # danh mục: "Hộp 1 bình hít"</t>
        </is>
      </c>
      <c r="J147" s="10" t="inlineStr">
        <is>
          <t>Nghiệp vụ</t>
        </is>
      </c>
      <c r="K147" s="10" t="inlineStr">
        <is>
          <t>Nghiệp vụ – Danh mục</t>
        </is>
      </c>
      <c r="L147" s="10" t="inlineStr">
        <is>
          <t>Khoa Dược</t>
        </is>
      </c>
      <c r="M147" s="10" t="inlineStr">
        <is>
          <t>Phòng BHYT; CNTT</t>
        </is>
      </c>
      <c r="N147" s="10" t="inlineStr">
        <is>
          <t>Khoa Dược đối chiếu danh mục thuốc trên HIS với danh mục được duyệt (mã, tên, hàm lượng, SĐK, thầu, đường dùng, dạng bào chế, ĐVT, giá)</t>
        </is>
      </c>
      <c r="O147" s="10" t="n"/>
      <c r="P147" s="17" t="n">
        <v>4342</v>
      </c>
    </row>
    <row r="148">
      <c r="A148" s="10" t="n">
        <v>144</v>
      </c>
      <c r="B148" s="10" t="inlineStr">
        <is>
          <t>XML3_INFO_ERROR_MA_BAC_SI_NOT_FOUND</t>
        </is>
      </c>
      <c r="C148" s="10" t="inlineStr">
        <is>
          <t>XML3</t>
        </is>
      </c>
      <c r="D148" s="10" t="inlineStr">
        <is>
          <t>Mã bác sĩ không tồn tại</t>
        </is>
      </c>
      <c r="E148" s="10" t="inlineStr">
        <is>
          <t>Không</t>
        </is>
      </c>
      <c r="F148" s="10" t="inlineStr">
        <is>
          <t>Không</t>
        </is>
      </c>
      <c r="G148" s="12" t="n">
        <v>0</v>
      </c>
      <c r="H148" s="14">
        <f>G148/68213</f>
        <v/>
      </c>
      <c r="I148" s="10" t="inlineStr">
        <is>
          <t>Từ 15/10/2026 gộp vào XMLComplete_NVYT_KHONG_CO_TRONG_DM / _SAI_DINH_DANG; phần tương ứng (BS chỉ định XML3) khi kiểm lại 16/10/2026: 2.998 HS</t>
        </is>
      </c>
      <c r="J148" s="10" t="inlineStr">
        <is>
          <t>Nghiệp vụ</t>
        </is>
      </c>
      <c r="K148" s="10" t="inlineStr">
        <is>
          <t>Nghiệp vụ – Danh mục</t>
        </is>
      </c>
      <c r="L148" s="10" t="inlineStr">
        <is>
          <t>Phòng TCCB</t>
        </is>
      </c>
      <c r="M148" s="10" t="inlineStr">
        <is>
          <t>Phòng BHYT</t>
        </is>
      </c>
      <c r="N148" s="10" t="inlineStr">
        <is>
          <t>Đăng ký/duyệt NVYT trên cổng BHXH; cập nhật danh mục NVYT vào phần mềm (trạng thái duyệt đổi từ 08/10)</t>
        </is>
      </c>
      <c r="O148" s="10" t="inlineStr">
        <is>
          <t>#31</t>
        </is>
      </c>
      <c r="P148" s="17" t="n">
        <v>2665</v>
      </c>
    </row>
    <row r="149">
      <c r="A149" s="10" t="n">
        <v>145</v>
      </c>
      <c r="B149" s="10" t="inlineStr">
        <is>
          <t>XML5_INFO_ERROR_NGUOI_THUC_HIEN_NOT_FOUND</t>
        </is>
      </c>
      <c r="C149" s="10" t="inlineStr">
        <is>
          <t>XML5</t>
        </is>
      </c>
      <c r="D149" s="10" t="inlineStr">
        <is>
          <t>Người thực hiện chưa được duyệt</t>
        </is>
      </c>
      <c r="E149" s="10" t="inlineStr">
        <is>
          <t>Có</t>
        </is>
      </c>
      <c r="F149" s="10" t="inlineStr">
        <is>
          <t>Không</t>
        </is>
      </c>
      <c r="G149" s="12" t="n">
        <v>0</v>
      </c>
      <c r="H149" s="14">
        <f>G149/68213</f>
        <v/>
      </c>
      <c r="I149" s="10" t="inlineStr">
        <is>
          <t>Từ 15/10/2026 gộp vào XMLComplete_NVYT_KHONG_CO_TRONG_DM / _SAI_DINH_DANG; phần tương ứng (người thực hiện XML5) khi kiểm lại 16/10/2026: 2.364 HS</t>
        </is>
      </c>
      <c r="J149" s="10" t="inlineStr">
        <is>
          <t>Nghiệp vụ</t>
        </is>
      </c>
      <c r="K149" s="10" t="inlineStr">
        <is>
          <t>Nghiệp vụ – Danh mục</t>
        </is>
      </c>
      <c r="L149" s="10" t="inlineStr">
        <is>
          <t>Phòng TCCB</t>
        </is>
      </c>
      <c r="M149" s="10" t="inlineStr">
        <is>
          <t>Phòng BHYT</t>
        </is>
      </c>
      <c r="N149" s="10" t="inlineStr">
        <is>
          <t>Đăng ký/duyệt NVYT trên cổng BHXH; cập nhật danh mục NVYT vào phần mềm (trạng thái duyệt đổi từ 08/10)</t>
        </is>
      </c>
      <c r="O149" s="10" t="n"/>
      <c r="P149" s="17" t="n">
        <v>2124</v>
      </c>
    </row>
    <row r="150">
      <c r="A150" s="10" t="n">
        <v>146</v>
      </c>
      <c r="B150" s="10" t="inlineStr">
        <is>
          <t>XML2_INVALID_MEDICAL_STAFF_CODE</t>
        </is>
      </c>
      <c r="C150" s="10" t="inlineStr">
        <is>
          <t>XML2</t>
        </is>
      </c>
      <c r="D150" s="10" t="inlineStr">
        <is>
          <t>Mã CCHN chưa được duyệt</t>
        </is>
      </c>
      <c r="E150" s="10" t="inlineStr">
        <is>
          <t>Không</t>
        </is>
      </c>
      <c r="F150" s="10" t="inlineStr">
        <is>
          <t>Không</t>
        </is>
      </c>
      <c r="G150" s="12" t="n">
        <v>0</v>
      </c>
      <c r="H150" s="14">
        <f>G150/68213</f>
        <v/>
      </c>
      <c r="I150" s="10" t="inlineStr">
        <is>
          <t>Từ 15/10/2026 gộp vào XMLComplete_NVYT_KHONG_CO_TRONG_DM / _SAI_DINH_DANG; phần tương ứng (BS chỉ định XML2) khi kiểm lại 16/10/2026: 1.423 HS</t>
        </is>
      </c>
      <c r="J150" s="10" t="inlineStr">
        <is>
          <t>Nghiệp vụ</t>
        </is>
      </c>
      <c r="K150" s="10" t="inlineStr">
        <is>
          <t>Nghiệp vụ – Danh mục</t>
        </is>
      </c>
      <c r="L150" s="10" t="inlineStr">
        <is>
          <t>Phòng TCCB</t>
        </is>
      </c>
      <c r="M150" s="10" t="inlineStr">
        <is>
          <t>Phòng BHYT</t>
        </is>
      </c>
      <c r="N150" s="10" t="inlineStr">
        <is>
          <t>Đăng ký/duyệt NVYT trên cổng BHXH; cập nhật danh mục NVYT vào phần mềm (trạng thái duyệt đổi từ 08/10)</t>
        </is>
      </c>
      <c r="O150" s="10" t="inlineStr">
        <is>
          <t>#23</t>
        </is>
      </c>
      <c r="P150" s="17" t="n">
        <v>1278</v>
      </c>
    </row>
    <row r="151">
      <c r="A151" s="10" t="n">
        <v>147</v>
      </c>
      <c r="B151" s="10" t="inlineStr">
        <is>
          <t>XML14_INVALID_MEDICAL_STAFF_MA_BAC_SI</t>
        </is>
      </c>
      <c r="C151" s="10" t="inlineStr">
        <is>
          <t>XML14</t>
        </is>
      </c>
      <c r="D151" s="10" t="inlineStr">
        <is>
          <t>Mã bác sĩ (CCHN) chưa được duyệt</t>
        </is>
      </c>
      <c r="E151" s="10" t="inlineStr">
        <is>
          <t>Không</t>
        </is>
      </c>
      <c r="F151" s="10" t="inlineStr">
        <is>
          <t>Không</t>
        </is>
      </c>
      <c r="G151" s="12" t="n">
        <v>0</v>
      </c>
      <c r="H151" s="14">
        <f>G151/68213</f>
        <v/>
      </c>
      <c r="I151" s="10" t="inlineStr">
        <is>
          <t>Từ 15/10/2026 gộp vào XMLComplete_NVYT_KHONG_CO_TRONG_DM / _SAI_DINH_DANG; phần tương ứng (BS chỉ định XML14) khi kiểm lại 16/10/2026: 1.240 HS</t>
        </is>
      </c>
      <c r="J151" s="10" t="inlineStr">
        <is>
          <t>Nghiệp vụ</t>
        </is>
      </c>
      <c r="K151" s="10" t="inlineStr">
        <is>
          <t>Nghiệp vụ – Danh mục</t>
        </is>
      </c>
      <c r="L151" s="10" t="inlineStr">
        <is>
          <t>Phòng TCCB</t>
        </is>
      </c>
      <c r="M151" s="10" t="inlineStr">
        <is>
          <t>Phòng BHYT</t>
        </is>
      </c>
      <c r="N151" s="10" t="inlineStr">
        <is>
          <t>Đăng ký/duyệt NVYT trên cổng BHXH; cập nhật danh mục NVYT vào phần mềm (trạng thái duyệt đổi từ 08/10)</t>
        </is>
      </c>
      <c r="O151" s="10" t="n"/>
      <c r="P151" s="17" t="n">
        <v>1116</v>
      </c>
    </row>
    <row r="152">
      <c r="A152" s="10" t="n">
        <v>148</v>
      </c>
      <c r="B152" s="10" t="inlineStr">
        <is>
          <t>XML1_INFO_ERROR_MA_TTDV</t>
        </is>
      </c>
      <c r="C152" s="10" t="inlineStr">
        <is>
          <t>XML1</t>
        </is>
      </c>
      <c r="D152" s="10" t="inlineStr">
        <is>
          <t>Thiếu mã thủ trưởng đơn vị</t>
        </is>
      </c>
      <c r="E152" s="10" t="inlineStr">
        <is>
          <t>Có</t>
        </is>
      </c>
      <c r="F152" s="10" t="inlineStr">
        <is>
          <t>Không</t>
        </is>
      </c>
      <c r="G152" s="12" t="n">
        <v>0</v>
      </c>
      <c r="H152" s="14">
        <f>G152/68213</f>
        <v/>
      </c>
      <c r="I152" s="10" t="inlineStr">
        <is>
          <t>Từ 15/10/2026 gộp vào XMLComplete_NVYT_THIEU; phần tương ứng (thủ trưởng đơn vị XML1) khi kiểm lại 16/10/2026: 1.174 HS</t>
        </is>
      </c>
      <c r="J152" s="10" t="inlineStr">
        <is>
          <t>Kỹ thuật</t>
        </is>
      </c>
      <c r="K152" s="10" t="inlineStr">
        <is>
          <t>Kỹ thuật – HIS</t>
        </is>
      </c>
      <c r="L152" s="10" t="inlineStr">
        <is>
          <t>CNTT</t>
        </is>
      </c>
      <c r="M152" s="10" t="inlineStr">
        <is>
          <t>Phòng KHTH</t>
        </is>
      </c>
      <c r="N152" s="10" t="inlineStr">
        <is>
          <t>Cấu hình người ký thủ trưởng đơn vị trên HIS cho từng loại giấy</t>
        </is>
      </c>
      <c r="O152" s="10" t="n"/>
      <c r="P152" s="17" t="n">
        <v>1027</v>
      </c>
    </row>
    <row r="153">
      <c r="A153" s="10" t="n">
        <v>149</v>
      </c>
      <c r="B153" s="10" t="inlineStr">
        <is>
          <t>XML14_INFO_ERROR_MA_TTDV</t>
        </is>
      </c>
      <c r="C153" s="10" t="inlineStr">
        <is>
          <t>XML14</t>
        </is>
      </c>
      <c r="D153" s="10" t="inlineStr">
        <is>
          <t>Thiếu mã thủ trưởng đơn vị</t>
        </is>
      </c>
      <c r="E153" s="10" t="inlineStr">
        <is>
          <t>Có</t>
        </is>
      </c>
      <c r="F153" s="10" t="inlineStr">
        <is>
          <t>Không</t>
        </is>
      </c>
      <c r="G153" s="12" t="n">
        <v>0</v>
      </c>
      <c r="H153" s="14">
        <f>G153/68213</f>
        <v/>
      </c>
      <c r="I153" s="10" t="inlineStr">
        <is>
          <t>Từ 15/10/2026 gộp vào XMLComplete_NVYT_THIEU; phần tương ứng (thủ trưởng đơn vị XML14) khi kiểm lại 16/10/2026: 1.048 HS</t>
        </is>
      </c>
      <c r="J153" s="10" t="inlineStr">
        <is>
          <t>Kỹ thuật</t>
        </is>
      </c>
      <c r="K153" s="10" t="inlineStr">
        <is>
          <t>Kỹ thuật – HIS</t>
        </is>
      </c>
      <c r="L153" s="10" t="inlineStr">
        <is>
          <t>CNTT</t>
        </is>
      </c>
      <c r="M153" s="10" t="inlineStr">
        <is>
          <t>Phòng KHTH</t>
        </is>
      </c>
      <c r="N153" s="10" t="inlineStr">
        <is>
          <t>Cấu hình người ký thủ trưởng đơn vị trên HIS cho từng loại giấy</t>
        </is>
      </c>
      <c r="O153" s="10" t="inlineStr">
        <is>
          <t>#58</t>
        </is>
      </c>
      <c r="P153" s="17" t="n">
        <v>919</v>
      </c>
    </row>
    <row r="154">
      <c r="A154" s="10" t="n">
        <v>150</v>
      </c>
      <c r="B154" s="10" t="inlineStr">
        <is>
          <t>XML4_INFO_ERROR_MA_BS_DOC_KQ</t>
        </is>
      </c>
      <c r="C154" s="10" t="inlineStr">
        <is>
          <t>XML4</t>
        </is>
      </c>
      <c r="D154" s="10" t="inlineStr">
        <is>
          <t>Thiếu mã bác sĩ đọc kết quả</t>
        </is>
      </c>
      <c r="E154" s="10" t="inlineStr">
        <is>
          <t>Có</t>
        </is>
      </c>
      <c r="F154" s="10" t="inlineStr">
        <is>
          <t>Không</t>
        </is>
      </c>
      <c r="G154" s="12" t="n">
        <v>0</v>
      </c>
      <c r="H154" s="14">
        <f>G154/68213</f>
        <v/>
      </c>
      <c r="I154" s="10" t="inlineStr">
        <is>
          <t>Từ 15/10/2026 gộp vào XMLComplete_NVYT_THIEU; phần tương ứng (BS đọc KQ XML4) khi kiểm lại 16/10/2026: 488 HS</t>
        </is>
      </c>
      <c r="J154" s="10" t="inlineStr">
        <is>
          <t>Kỹ thuật</t>
        </is>
      </c>
      <c r="K154" s="10" t="inlineStr">
        <is>
          <t>Kỹ thuật – Tích hợp HIS–PACS/LIS</t>
        </is>
      </c>
      <c r="L154" s="10" t="inlineStr">
        <is>
          <t>CNTT</t>
        </is>
      </c>
      <c r="M154" s="10" t="inlineStr">
        <is>
          <t>Hãng PACS; Hãng LIS; Khoa CĐHA; Khoa Xét nghiệm</t>
        </is>
      </c>
      <c r="N154" s="10" t="inlineStr">
        <is>
          <t>Bắt buộc ký số/duyệt kết quả trên PACS/LIS trước khi đẩy về HIS</t>
        </is>
      </c>
      <c r="O154" s="10" t="inlineStr">
        <is>
          <t>#39</t>
        </is>
      </c>
      <c r="P154" s="17" t="n">
        <v>446</v>
      </c>
    </row>
    <row r="155">
      <c r="A155" s="10" t="n">
        <v>151</v>
      </c>
      <c r="B155" s="10" t="inlineStr">
        <is>
          <t>XML7_INFO_ERROR_MA_BS_NOT_FOUND</t>
        </is>
      </c>
      <c r="C155" s="10" t="inlineStr">
        <is>
          <t>XML7</t>
        </is>
      </c>
      <c r="D155" s="10" t="inlineStr">
        <is>
          <t>Mã bác sĩ chưa được duyệt</t>
        </is>
      </c>
      <c r="E155" s="10" t="inlineStr">
        <is>
          <t>Không</t>
        </is>
      </c>
      <c r="F155" s="10" t="inlineStr">
        <is>
          <t>Không</t>
        </is>
      </c>
      <c r="G155" s="12" t="n">
        <v>0</v>
      </c>
      <c r="H155" s="14">
        <f>G155/68213</f>
        <v/>
      </c>
      <c r="I155" s="10" t="inlineStr">
        <is>
          <t>Từ 15/10/2026 gộp vào XMLComplete_NVYT_KHONG_CO_TRONG_DM / _SAI_DINH_DANG; phần tương ứng (BS chỉ định XML7) khi kiểm lại 16/10/2026: 169 HS</t>
        </is>
      </c>
      <c r="J155" s="10" t="inlineStr">
        <is>
          <t>Nghiệp vụ</t>
        </is>
      </c>
      <c r="K155" s="10" t="inlineStr">
        <is>
          <t>Nghiệp vụ – Danh mục</t>
        </is>
      </c>
      <c r="L155" s="10" t="inlineStr">
        <is>
          <t>Phòng TCCB</t>
        </is>
      </c>
      <c r="M155" s="10" t="inlineStr">
        <is>
          <t>Phòng BHYT</t>
        </is>
      </c>
      <c r="N155" s="10" t="inlineStr">
        <is>
          <t>Đăng ký/duyệt NVYT trên cổng BHXH; cập nhật danh mục NVYT vào phần mềm (trạng thái duyệt đổi từ 08/10)</t>
        </is>
      </c>
      <c r="O155" s="10" t="inlineStr">
        <is>
          <t>#43</t>
        </is>
      </c>
      <c r="P155" s="17" t="n">
        <v>156</v>
      </c>
    </row>
    <row r="156">
      <c r="A156" s="10" t="n">
        <v>152</v>
      </c>
      <c r="B156" s="10" t="inlineStr">
        <is>
          <t>XML5_INFO_ERROR_NGUOI_THUC_HIEN</t>
        </is>
      </c>
      <c r="C156" s="10" t="inlineStr">
        <is>
          <t>XML5</t>
        </is>
      </c>
      <c r="D156" s="10" t="inlineStr">
        <is>
          <t>Thiếu người thực hiện</t>
        </is>
      </c>
      <c r="E156" s="10" t="inlineStr">
        <is>
          <t>Có</t>
        </is>
      </c>
      <c r="F156" s="10" t="inlineStr">
        <is>
          <t>Không</t>
        </is>
      </c>
      <c r="G156" s="12" t="n">
        <v>0</v>
      </c>
      <c r="H156" s="14">
        <f>G156/68213</f>
        <v/>
      </c>
      <c r="I156" s="10" t="inlineStr">
        <is>
          <t>Từ 15/10/2026 gộp vào XMLComplete_NVYT_THIEU; phần tương ứng (người thực hiện XML5) khi kiểm lại 16/10/2026: 62 HS</t>
        </is>
      </c>
      <c r="J156" s="10" t="inlineStr">
        <is>
          <t>Kỹ thuật</t>
        </is>
      </c>
      <c r="K156" s="10" t="inlineStr">
        <is>
          <t>Kỹ thuật – HIS</t>
        </is>
      </c>
      <c r="L156" s="10" t="inlineStr">
        <is>
          <t>CNTT</t>
        </is>
      </c>
      <c r="M156" s="10" t="inlineStr">
        <is>
          <t>Khoa lâm sàng</t>
        </is>
      </c>
      <c r="N156" s="10" t="inlineStr">
        <is>
          <t>HIS bắt buộc chọn bác sĩ/người thực hiện trước khi lưu y lệnh, ký giấy</t>
        </is>
      </c>
      <c r="O156" s="10" t="inlineStr">
        <is>
          <t>#42</t>
        </is>
      </c>
      <c r="P156" s="17" t="n">
        <v>119</v>
      </c>
    </row>
    <row r="157">
      <c r="A157" s="10" t="n">
        <v>153</v>
      </c>
      <c r="B157" s="10" t="inlineStr">
        <is>
          <t>XML2_MISSING_MEDICAL_STAFF_CODE</t>
        </is>
      </c>
      <c r="C157" s="10" t="inlineStr">
        <is>
          <t>XML2</t>
        </is>
      </c>
      <c r="D157" s="10" t="inlineStr">
        <is>
          <t>Thiếu mã bác sĩ</t>
        </is>
      </c>
      <c r="E157" s="10" t="inlineStr">
        <is>
          <t>Có</t>
        </is>
      </c>
      <c r="F157" s="10" t="inlineStr">
        <is>
          <t>Không</t>
        </is>
      </c>
      <c r="G157" s="12" t="n">
        <v>0</v>
      </c>
      <c r="H157" s="14">
        <f>G157/68213</f>
        <v/>
      </c>
      <c r="I157" s="10" t="inlineStr">
        <is>
          <t>Từ 15/10/2026 gộp vào XMLComplete_NVYT_THIEU; phần tương ứng (BS chỉ định XML2) khi kiểm lại 16/10/2026: 96 HS</t>
        </is>
      </c>
      <c r="J157" s="10" t="inlineStr">
        <is>
          <t>Kỹ thuật</t>
        </is>
      </c>
      <c r="K157" s="10" t="inlineStr">
        <is>
          <t>Kỹ thuật – HIS</t>
        </is>
      </c>
      <c r="L157" s="10" t="inlineStr">
        <is>
          <t>CNTT</t>
        </is>
      </c>
      <c r="M157" s="10" t="inlineStr">
        <is>
          <t>Khoa lâm sàng</t>
        </is>
      </c>
      <c r="N157" s="10" t="inlineStr">
        <is>
          <t>HIS bắt buộc chọn bác sĩ chỉ định trước khi lưu y lệnh thuốc</t>
        </is>
      </c>
      <c r="O157" s="10" t="inlineStr">
        <is>
          <t>#23</t>
        </is>
      </c>
      <c r="P157" s="17" t="n">
        <v>96</v>
      </c>
    </row>
    <row r="158">
      <c r="A158" s="10" t="n">
        <v>154</v>
      </c>
      <c r="B158" s="10" t="inlineStr">
        <is>
          <t>XML3_INFO_ERROR_MA_BAC_SI</t>
        </is>
      </c>
      <c r="C158" s="10" t="inlineStr">
        <is>
          <t>XML3</t>
        </is>
      </c>
      <c r="D158" s="10" t="inlineStr">
        <is>
          <t>Thiếu mã bác sĩ</t>
        </is>
      </c>
      <c r="E158" s="10" t="inlineStr">
        <is>
          <t>Có</t>
        </is>
      </c>
      <c r="F158" s="10" t="inlineStr">
        <is>
          <t>Không</t>
        </is>
      </c>
      <c r="G158" s="12" t="n">
        <v>0</v>
      </c>
      <c r="H158" s="14">
        <f>G158/68213</f>
        <v/>
      </c>
      <c r="I158" s="10" t="inlineStr">
        <is>
          <t>Từ 15/10/2026 gộp vào XMLComplete_NVYT_THIEU; phần tương ứng (BS chỉ định XML3) khi kiểm lại 16/10/2026: 41 HS</t>
        </is>
      </c>
      <c r="J158" s="10" t="inlineStr">
        <is>
          <t>Kỹ thuật</t>
        </is>
      </c>
      <c r="K158" s="10" t="inlineStr">
        <is>
          <t>Kỹ thuật – HIS</t>
        </is>
      </c>
      <c r="L158" s="10" t="inlineStr">
        <is>
          <t>CNTT</t>
        </is>
      </c>
      <c r="M158" s="10" t="inlineStr">
        <is>
          <t>Khoa lâm sàng</t>
        </is>
      </c>
      <c r="N158" s="10" t="inlineStr">
        <is>
          <t>HIS bắt buộc chọn bác sĩ/người thực hiện trước khi lưu y lệnh, ký giấy</t>
        </is>
      </c>
      <c r="O158" s="10" t="inlineStr">
        <is>
          <t>#31</t>
        </is>
      </c>
      <c r="P158" s="17" t="n">
        <v>93</v>
      </c>
    </row>
    <row r="159">
      <c r="A159" s="10" t="n">
        <v>155</v>
      </c>
      <c r="B159" s="10" t="inlineStr">
        <is>
          <t>XML1_INVALID_MEDICAL_STAFF_MA_TTDV</t>
        </is>
      </c>
      <c r="C159" s="10" t="inlineStr">
        <is>
          <t>XML1</t>
        </is>
      </c>
      <c r="D159" s="10" t="inlineStr">
        <is>
          <t>Mã thủ trưởng đơn vị chưa được duyệt</t>
        </is>
      </c>
      <c r="E159" s="10" t="inlineStr">
        <is>
          <t>Có</t>
        </is>
      </c>
      <c r="F159" s="10" t="inlineStr">
        <is>
          <t>Không</t>
        </is>
      </c>
      <c r="G159" s="12" t="n">
        <v>0</v>
      </c>
      <c r="H159" s="14">
        <f>G159/68213</f>
        <v/>
      </c>
      <c r="I159" s="10" t="inlineStr">
        <is>
          <t>Từ 15/10/2026 gộp vào XMLComplete_NVYT_KHONG_CO_TRONG_DM / _SAI_DINH_DANG; phần tương ứng (thủ trưởng đơn vị XML1) khi kiểm lại 16/10/2026: 51 HS</t>
        </is>
      </c>
      <c r="J159" s="10" t="inlineStr">
        <is>
          <t>Nghiệp vụ</t>
        </is>
      </c>
      <c r="K159" s="10" t="inlineStr">
        <is>
          <t>Nghiệp vụ – Danh mục</t>
        </is>
      </c>
      <c r="L159" s="10" t="inlineStr">
        <is>
          <t>Phòng TCCB</t>
        </is>
      </c>
      <c r="M159" s="10" t="inlineStr">
        <is>
          <t>Phòng BHYT; CNTT</t>
        </is>
      </c>
      <c r="N159" s="10" t="inlineStr">
        <is>
          <t>Đăng ký người ký thủ trưởng đơn vị trên cổng BHXH; cấu hình đúng người ký trên HIS</t>
        </is>
      </c>
      <c r="O159" s="10" t="n"/>
      <c r="P159" s="17" t="n">
        <v>50</v>
      </c>
    </row>
    <row r="160">
      <c r="A160" s="10" t="n">
        <v>156</v>
      </c>
      <c r="B160" s="10" t="inlineStr">
        <is>
          <t>XML7_INFO_ERROR_MA_BS</t>
        </is>
      </c>
      <c r="C160" s="10" t="inlineStr">
        <is>
          <t>XML7</t>
        </is>
      </c>
      <c r="D160" s="10" t="inlineStr">
        <is>
          <t>Thiếu mã bác sĩ</t>
        </is>
      </c>
      <c r="E160" s="10" t="inlineStr">
        <is>
          <t>Có</t>
        </is>
      </c>
      <c r="F160" s="10" t="inlineStr">
        <is>
          <t>Không</t>
        </is>
      </c>
      <c r="G160" s="12" t="n">
        <v>0</v>
      </c>
      <c r="H160" s="14">
        <f>G160/68213</f>
        <v/>
      </c>
      <c r="I160" s="10" t="inlineStr">
        <is>
          <t>Từ 15/10/2026 gộp vào XMLComplete_NVYT_THIEU; phần tương ứng (BS chỉ định XML7) khi kiểm lại 16/10/2026: 13 HS</t>
        </is>
      </c>
      <c r="J160" s="10" t="inlineStr">
        <is>
          <t>Kỹ thuật</t>
        </is>
      </c>
      <c r="K160" s="10" t="inlineStr">
        <is>
          <t>Kỹ thuật – HIS</t>
        </is>
      </c>
      <c r="L160" s="10" t="inlineStr">
        <is>
          <t>CNTT</t>
        </is>
      </c>
      <c r="M160" s="10" t="inlineStr">
        <is>
          <t>Khoa lâm sàng</t>
        </is>
      </c>
      <c r="N160" s="10" t="inlineStr">
        <is>
          <t>HIS bắt buộc chọn bác sĩ/người thực hiện trước khi lưu y lệnh, ký giấy</t>
        </is>
      </c>
      <c r="O160" s="10" t="inlineStr">
        <is>
          <t>#43</t>
        </is>
      </c>
      <c r="P160" s="17" t="n">
        <v>33</v>
      </c>
    </row>
    <row r="161">
      <c r="A161" s="10" t="n">
        <v>157</v>
      </c>
      <c r="B161" s="10" t="inlineStr">
        <is>
          <t>XML7_INFO_ERROR_MA_TTDV</t>
        </is>
      </c>
      <c r="C161" s="10" t="inlineStr">
        <is>
          <t>XML7</t>
        </is>
      </c>
      <c r="D161" s="10" t="inlineStr">
        <is>
          <t>Thiếu mã thủ trưởng đơn vị</t>
        </is>
      </c>
      <c r="E161" s="10" t="inlineStr">
        <is>
          <t>Có</t>
        </is>
      </c>
      <c r="F161" s="10" t="inlineStr">
        <is>
          <t>Không</t>
        </is>
      </c>
      <c r="G161" s="12" t="n">
        <v>0</v>
      </c>
      <c r="H161" s="14">
        <f>G161/68213</f>
        <v/>
      </c>
      <c r="I161" s="10" t="inlineStr">
        <is>
          <t>Từ 15/10/2026 gộp vào XMLComplete_NVYT_THIEU; phần tương ứng (thủ trưởng đơn vị XML7) khi kiểm lại 16/10/2026: 28 HS</t>
        </is>
      </c>
      <c r="J161" s="10" t="inlineStr">
        <is>
          <t>Kỹ thuật</t>
        </is>
      </c>
      <c r="K161" s="10" t="inlineStr">
        <is>
          <t>Kỹ thuật – HIS</t>
        </is>
      </c>
      <c r="L161" s="10" t="inlineStr">
        <is>
          <t>CNTT</t>
        </is>
      </c>
      <c r="M161" s="10" t="inlineStr">
        <is>
          <t>Phòng KHTH</t>
        </is>
      </c>
      <c r="N161" s="10" t="inlineStr">
        <is>
          <t>Cấu hình người ký thủ trưởng đơn vị trên HIS cho từng loại giấy</t>
        </is>
      </c>
      <c r="O161" s="10" t="inlineStr">
        <is>
          <t>#45</t>
        </is>
      </c>
      <c r="P161" s="17" t="n">
        <v>27</v>
      </c>
    </row>
    <row r="162">
      <c r="A162" s="10" t="n">
        <v>158</v>
      </c>
      <c r="B162" s="10" t="inlineStr">
        <is>
          <t>XML8_INFO_ERROR_MA_TTDV</t>
        </is>
      </c>
      <c r="C162" s="10" t="inlineStr">
        <is>
          <t>XML8</t>
        </is>
      </c>
      <c r="D162" s="10" t="inlineStr">
        <is>
          <t>Thiếu mã thủ trưởng đơn vị</t>
        </is>
      </c>
      <c r="E162" s="10" t="inlineStr">
        <is>
          <t>Có</t>
        </is>
      </c>
      <c r="F162" s="10" t="inlineStr">
        <is>
          <t>Không</t>
        </is>
      </c>
      <c r="G162" s="12" t="n">
        <v>0</v>
      </c>
      <c r="H162" s="14">
        <f>G162/68213</f>
        <v/>
      </c>
      <c r="I162" s="10" t="inlineStr">
        <is>
          <t>Từ 15/10/2026 gộp vào XMLComplete_NVYT_THIEU; phần tương ứng (thủ trưởng đơn vị XML8) khi kiểm lại 16/10/2026: 28 HS</t>
        </is>
      </c>
      <c r="J162" s="10" t="inlineStr">
        <is>
          <t>Kỹ thuật</t>
        </is>
      </c>
      <c r="K162" s="10" t="inlineStr">
        <is>
          <t>Kỹ thuật – HIS</t>
        </is>
      </c>
      <c r="L162" s="10" t="inlineStr">
        <is>
          <t>CNTT</t>
        </is>
      </c>
      <c r="M162" s="10" t="inlineStr">
        <is>
          <t>Phòng KHTH</t>
        </is>
      </c>
      <c r="N162" s="10" t="inlineStr">
        <is>
          <t>Cấu hình người ký thủ trưởng đơn vị trên HIS cho từng loại giấy</t>
        </is>
      </c>
      <c r="O162" s="10" t="inlineStr">
        <is>
          <t>#46</t>
        </is>
      </c>
      <c r="P162" s="17" t="n">
        <v>27</v>
      </c>
    </row>
    <row r="163">
      <c r="A163" s="10" t="n">
        <v>159</v>
      </c>
      <c r="B163" s="10" t="inlineStr">
        <is>
          <t>XML7_INFO_ERROR_MA_TTDV_NOT_FOUND</t>
        </is>
      </c>
      <c r="C163" s="10" t="inlineStr">
        <is>
          <t>XML7</t>
        </is>
      </c>
      <c r="D163" s="10" t="inlineStr">
        <is>
          <t>Mã thủ trưởng đơn vị chưa được duyệt</t>
        </is>
      </c>
      <c r="E163" s="10" t="inlineStr">
        <is>
          <t>Không</t>
        </is>
      </c>
      <c r="F163" s="10" t="inlineStr">
        <is>
          <t>Không</t>
        </is>
      </c>
      <c r="G163" s="12" t="n">
        <v>0</v>
      </c>
      <c r="H163" s="14">
        <f>G163/68213</f>
        <v/>
      </c>
      <c r="I163" s="10" t="inlineStr">
        <is>
          <t>Từ 15/10/2026 gộp vào XMLComplete_NVYT_KHONG_CO_TRONG_DM / _SAI_DINH_DANG; phần tương ứng (thủ trưởng đơn vị XML7) khi kiểm lại 16/10/2026: 22 HS</t>
        </is>
      </c>
      <c r="J163" s="10" t="inlineStr">
        <is>
          <t>Nghiệp vụ</t>
        </is>
      </c>
      <c r="K163" s="10" t="inlineStr">
        <is>
          <t>Nghiệp vụ – Danh mục</t>
        </is>
      </c>
      <c r="L163" s="10" t="inlineStr">
        <is>
          <t>Phòng TCCB</t>
        </is>
      </c>
      <c r="M163" s="10" t="inlineStr">
        <is>
          <t>Phòng BHYT; CNTT</t>
        </is>
      </c>
      <c r="N163" s="10" t="inlineStr">
        <is>
          <t>Đăng ký người ký thủ trưởng đơn vị trên cổng BHXH; cấu hình đúng người ký trên HIS</t>
        </is>
      </c>
      <c r="O163" s="10" t="inlineStr">
        <is>
          <t>#45</t>
        </is>
      </c>
      <c r="P163" s="17" t="n">
        <v>22</v>
      </c>
    </row>
    <row r="164">
      <c r="A164" s="10" t="n">
        <v>160</v>
      </c>
      <c r="B164" s="10" t="inlineStr">
        <is>
          <t>XML8_INFO_ERROR_MA_TTDV_NOT_FOUND</t>
        </is>
      </c>
      <c r="C164" s="10" t="inlineStr">
        <is>
          <t>XML8</t>
        </is>
      </c>
      <c r="D164" s="10" t="inlineStr">
        <is>
          <t>Mã thủ trưởng đơn vị chưa được duyệt</t>
        </is>
      </c>
      <c r="E164" s="10" t="inlineStr">
        <is>
          <t>Không</t>
        </is>
      </c>
      <c r="F164" s="10" t="inlineStr">
        <is>
          <t>Không</t>
        </is>
      </c>
      <c r="G164" s="12" t="n">
        <v>0</v>
      </c>
      <c r="H164" s="14">
        <f>G164/68213</f>
        <v/>
      </c>
      <c r="I164" s="10" t="inlineStr">
        <is>
          <t>Từ 15/10/2026 gộp vào XMLComplete_NVYT_KHONG_CO_TRONG_DM / _SAI_DINH_DANG; phần tương ứng (thủ trưởng đơn vị XML8) khi kiểm lại 16/10/2026: 22 HS</t>
        </is>
      </c>
      <c r="J164" s="10" t="inlineStr">
        <is>
          <t>Nghiệp vụ</t>
        </is>
      </c>
      <c r="K164" s="10" t="inlineStr">
        <is>
          <t>Nghiệp vụ – Danh mục</t>
        </is>
      </c>
      <c r="L164" s="10" t="inlineStr">
        <is>
          <t>Phòng TCCB</t>
        </is>
      </c>
      <c r="M164" s="10" t="inlineStr">
        <is>
          <t>Phòng BHYT; CNTT</t>
        </is>
      </c>
      <c r="N164" s="10" t="inlineStr">
        <is>
          <t>Đăng ký người ký thủ trưởng đơn vị trên cổng BHXH; cấu hình đúng người ký trên HIS</t>
        </is>
      </c>
      <c r="O164" s="10" t="inlineStr">
        <is>
          <t>#46</t>
        </is>
      </c>
      <c r="P164" s="17" t="n">
        <v>22</v>
      </c>
    </row>
    <row r="165">
      <c r="A165" s="10" t="n">
        <v>161</v>
      </c>
      <c r="B165" s="10" t="inlineStr">
        <is>
          <t>XML14_INFO_ERROR_MA_BAC_SI</t>
        </is>
      </c>
      <c r="C165" s="10" t="inlineStr">
        <is>
          <t>XML14</t>
        </is>
      </c>
      <c r="D165" s="10" t="inlineStr">
        <is>
          <t>Thiếu mã bác sĩ (CCHN)</t>
        </is>
      </c>
      <c r="E165" s="10" t="inlineStr">
        <is>
          <t>Có</t>
        </is>
      </c>
      <c r="F165" s="10" t="inlineStr">
        <is>
          <t>Không</t>
        </is>
      </c>
      <c r="G165" s="12" t="n">
        <v>0</v>
      </c>
      <c r="H165" s="14">
        <f>G165/68213</f>
        <v/>
      </c>
      <c r="I165" s="10" t="inlineStr">
        <is>
          <t>Từ 15/10/2026 gộp vào XMLComplete_NVYT_THIEU; phần tương ứng (BS chỉ định XML14) khi kiểm lại 16/10/2026: 2 HS</t>
        </is>
      </c>
      <c r="J165" s="10" t="inlineStr">
        <is>
          <t>Kỹ thuật</t>
        </is>
      </c>
      <c r="K165" s="10" t="inlineStr">
        <is>
          <t>Kỹ thuật – HIS</t>
        </is>
      </c>
      <c r="L165" s="10" t="inlineStr">
        <is>
          <t>CNTT</t>
        </is>
      </c>
      <c r="M165" s="10" t="inlineStr">
        <is>
          <t>Khoa lâm sàng</t>
        </is>
      </c>
      <c r="N165" s="10" t="inlineStr">
        <is>
          <t>HIS bắt buộc chọn bác sĩ/người thực hiện trước khi lưu y lệnh, ký giấy</t>
        </is>
      </c>
      <c r="O165" s="10" t="n"/>
      <c r="P165" s="17" t="n">
        <v>18</v>
      </c>
    </row>
    <row r="166">
      <c r="A166" s="10" t="n">
        <v>162</v>
      </c>
      <c r="B166" s="10" t="inlineStr">
        <is>
          <t>XML13_INVALID_MEDICAL_STAFF_MA_BAC_SI</t>
        </is>
      </c>
      <c r="C166" s="10" t="inlineStr">
        <is>
          <t>XML13</t>
        </is>
      </c>
      <c r="D166" s="10" t="inlineStr">
        <is>
          <t>Mã bác sĩ (CCHN) chưa được duyệt</t>
        </is>
      </c>
      <c r="E166" s="10" t="inlineStr">
        <is>
          <t>Không</t>
        </is>
      </c>
      <c r="F166" s="10" t="inlineStr">
        <is>
          <t>Không</t>
        </is>
      </c>
      <c r="G166" s="12" t="n">
        <v>0</v>
      </c>
      <c r="H166" s="14">
        <f>G166/68213</f>
        <v/>
      </c>
      <c r="I166" s="10" t="inlineStr">
        <is>
          <t>Từ 15/10/2026 gộp vào XMLComplete_NVYT_KHONG_CO_TRONG_DM / _SAI_DINH_DANG; phần tương ứng (BS chỉ định XML13) khi kiểm lại 16/10/2026: 12 HS</t>
        </is>
      </c>
      <c r="J166" s="10" t="inlineStr">
        <is>
          <t>Nghiệp vụ</t>
        </is>
      </c>
      <c r="K166" s="10" t="inlineStr">
        <is>
          <t>Nghiệp vụ – Danh mục</t>
        </is>
      </c>
      <c r="L166" s="10" t="inlineStr">
        <is>
          <t>Phòng TCCB</t>
        </is>
      </c>
      <c r="M166" s="10" t="inlineStr">
        <is>
          <t>Phòng BHYT</t>
        </is>
      </c>
      <c r="N166" s="10" t="inlineStr">
        <is>
          <t>Đăng ký/duyệt NVYT trên cổng BHXH; cập nhật danh mục NVYT vào phần mềm (trạng thái duyệt đổi từ 08/10)</t>
        </is>
      </c>
      <c r="O166" s="10" t="n"/>
      <c r="P166" s="17" t="n">
        <v>11</v>
      </c>
    </row>
    <row r="167">
      <c r="A167" s="10" t="n">
        <v>163</v>
      </c>
      <c r="B167" s="10" t="inlineStr">
        <is>
          <t>XML11_INVALID_MEDICAL_STAFF_MA_BS</t>
        </is>
      </c>
      <c r="C167" s="10" t="inlineStr">
        <is>
          <t>XML11</t>
        </is>
      </c>
      <c r="D167" s="10" t="inlineStr">
        <is>
          <t>Mã bác sĩ (Mã BHXH) chưa được duyệt</t>
        </is>
      </c>
      <c r="E167" s="10" t="inlineStr">
        <is>
          <t>Không</t>
        </is>
      </c>
      <c r="F167" s="10" t="inlineStr">
        <is>
          <t>Không</t>
        </is>
      </c>
      <c r="G167" s="12" t="n">
        <v>0</v>
      </c>
      <c r="H167" s="14">
        <f>G167/68213</f>
        <v/>
      </c>
      <c r="I167" s="10" t="inlineStr">
        <is>
          <t>Từ 15/10/2026 gộp vào XMLComplete_NVYT_KHONG_CO_TRONG_DM / _SAI_DINH_DANG; phần tương ứng (BS chỉ định XML11) khi kiểm lại 16/10/2026: 8 HS</t>
        </is>
      </c>
      <c r="J167" s="10" t="inlineStr">
        <is>
          <t>Nghiệp vụ</t>
        </is>
      </c>
      <c r="K167" s="10" t="inlineStr">
        <is>
          <t>Nghiệp vụ – Danh mục</t>
        </is>
      </c>
      <c r="L167" s="10" t="inlineStr">
        <is>
          <t>Phòng TCCB</t>
        </is>
      </c>
      <c r="M167" s="10" t="inlineStr">
        <is>
          <t>Phòng BHYT</t>
        </is>
      </c>
      <c r="N167" s="10" t="inlineStr">
        <is>
          <t>Đăng ký/duyệt NVYT trên cổng BHXH; cập nhật danh mục NVYT vào phần mềm (trạng thái duyệt đổi từ 08/10)</t>
        </is>
      </c>
      <c r="O167" s="10" t="inlineStr">
        <is>
          <t>#53</t>
        </is>
      </c>
      <c r="P167" s="17" t="n">
        <v>8</v>
      </c>
    </row>
    <row r="168">
      <c r="A168" s="10" t="n">
        <v>164</v>
      </c>
      <c r="B168" s="10" t="inlineStr">
        <is>
          <t>XML13_INVALID_MEDICAL_STAFF_MA_TTDV</t>
        </is>
      </c>
      <c r="C168" s="10" t="inlineStr">
        <is>
          <t>XML13</t>
        </is>
      </c>
      <c r="D168" s="10" t="inlineStr">
        <is>
          <t>Mã thủ trưởng đơn vị chưa được duyệt</t>
        </is>
      </c>
      <c r="E168" s="10" t="inlineStr">
        <is>
          <t>Có</t>
        </is>
      </c>
      <c r="F168" s="10" t="inlineStr">
        <is>
          <t>Không</t>
        </is>
      </c>
      <c r="G168" s="12" t="n">
        <v>0</v>
      </c>
      <c r="H168" s="14">
        <f>G168/68213</f>
        <v/>
      </c>
      <c r="I168" s="10" t="inlineStr">
        <is>
          <t>Từ 15/10/2026 gộp vào XMLComplete_NVYT_KHONG_CO_TRONG_DM / _SAI_DINH_DANG; phần tương ứng (thủ trưởng đơn vị XML13) khi kiểm lại 16/10/2026: 8 HS</t>
        </is>
      </c>
      <c r="J168" s="10" t="inlineStr">
        <is>
          <t>Nghiệp vụ</t>
        </is>
      </c>
      <c r="K168" s="10" t="inlineStr">
        <is>
          <t>Nghiệp vụ – Danh mục</t>
        </is>
      </c>
      <c r="L168" s="10" t="inlineStr">
        <is>
          <t>Phòng TCCB</t>
        </is>
      </c>
      <c r="M168" s="10" t="inlineStr">
        <is>
          <t>Phòng BHYT; CNTT</t>
        </is>
      </c>
      <c r="N168" s="10" t="inlineStr">
        <is>
          <t>Đăng ký người ký thủ trưởng đơn vị trên cổng BHXH; cấu hình đúng người ký trên HIS</t>
        </is>
      </c>
      <c r="O168" s="10" t="inlineStr">
        <is>
          <t>#55</t>
        </is>
      </c>
      <c r="P168" s="17" t="n">
        <v>8</v>
      </c>
    </row>
    <row r="169">
      <c r="A169" s="10" t="n">
        <v>165</v>
      </c>
      <c r="B169" s="10" t="inlineStr">
        <is>
          <t>XML13_INFO_ERROR_MA_BAC_SI</t>
        </is>
      </c>
      <c r="C169" s="10" t="inlineStr">
        <is>
          <t>XML13</t>
        </is>
      </c>
      <c r="D169" s="10" t="inlineStr">
        <is>
          <t>Thiếu mã bác sĩ (CCHN)</t>
        </is>
      </c>
      <c r="E169" s="10" t="inlineStr">
        <is>
          <t>Có</t>
        </is>
      </c>
      <c r="F169" s="10" t="inlineStr">
        <is>
          <t>Không</t>
        </is>
      </c>
      <c r="G169" s="12" t="n">
        <v>0</v>
      </c>
      <c r="H169" s="14">
        <f>G169/68213</f>
        <v/>
      </c>
      <c r="I169" s="10" t="inlineStr">
        <is>
          <t>Từ 15/10/2026 gộp vào XMLComplete_NVYT_THIEU; phần tương ứng (BS chỉ định XML13) khi kiểm lại 16/10/2026: 0 HS</t>
        </is>
      </c>
      <c r="J169" s="10" t="inlineStr">
        <is>
          <t>Kỹ thuật</t>
        </is>
      </c>
      <c r="K169" s="10" t="inlineStr">
        <is>
          <t>Kỹ thuật – HIS</t>
        </is>
      </c>
      <c r="L169" s="10" t="inlineStr">
        <is>
          <t>CNTT</t>
        </is>
      </c>
      <c r="M169" s="10" t="inlineStr">
        <is>
          <t>Khoa lâm sàng</t>
        </is>
      </c>
      <c r="N169" s="10" t="inlineStr">
        <is>
          <t>HIS bắt buộc chọn bác sĩ/người thực hiện trước khi lưu y lệnh, ký giấy</t>
        </is>
      </c>
      <c r="O169" s="10" t="n"/>
      <c r="P169" s="17" t="n">
        <v>4</v>
      </c>
    </row>
    <row r="170">
      <c r="A170" s="10" t="n">
        <v>166</v>
      </c>
      <c r="B170" s="10" t="inlineStr">
        <is>
          <t>XML13_INFO_ERROR_MA_TTDV</t>
        </is>
      </c>
      <c r="C170" s="10" t="inlineStr">
        <is>
          <t>XML13</t>
        </is>
      </c>
      <c r="D170" s="10" t="inlineStr">
        <is>
          <t>Thiếu mã thủ trưởng đơn vị</t>
        </is>
      </c>
      <c r="E170" s="10" t="inlineStr">
        <is>
          <t>Có</t>
        </is>
      </c>
      <c r="F170" s="10" t="inlineStr">
        <is>
          <t>Không</t>
        </is>
      </c>
      <c r="G170" s="12" t="n">
        <v>0</v>
      </c>
      <c r="H170" s="14">
        <f>G170/68213</f>
        <v/>
      </c>
      <c r="I170" s="10" t="inlineStr">
        <is>
          <t>Từ 15/10/2026 gộp vào XMLComplete_NVYT_THIEU; phần tương ứng (thủ trưởng đơn vị XML13) khi kiểm lại 16/10/2026: 6 HS</t>
        </is>
      </c>
      <c r="J170" s="10" t="inlineStr">
        <is>
          <t>Kỹ thuật</t>
        </is>
      </c>
      <c r="K170" s="10" t="inlineStr">
        <is>
          <t>Kỹ thuật – HIS</t>
        </is>
      </c>
      <c r="L170" s="10" t="inlineStr">
        <is>
          <t>CNTT</t>
        </is>
      </c>
      <c r="M170" s="10" t="inlineStr">
        <is>
          <t>Phòng KHTH</t>
        </is>
      </c>
      <c r="N170" s="10" t="inlineStr">
        <is>
          <t>Cấu hình người ký thủ trưởng đơn vị trên HIS cho từng loại giấy</t>
        </is>
      </c>
      <c r="O170" s="10" t="inlineStr">
        <is>
          <t>#55</t>
        </is>
      </c>
      <c r="P170" s="17" t="n">
        <v>4</v>
      </c>
    </row>
    <row r="171">
      <c r="A171" s="10" t="n">
        <v>167</v>
      </c>
      <c r="B171" s="10" t="inlineStr">
        <is>
          <t>XML14_INVALID_MEDICAL_STAFF_MA_TTDV</t>
        </is>
      </c>
      <c r="C171" s="10" t="inlineStr">
        <is>
          <t>XML14</t>
        </is>
      </c>
      <c r="D171" s="10" t="inlineStr">
        <is>
          <t>Mã thủ trưởng đơn vị chưa được duyệt</t>
        </is>
      </c>
      <c r="E171" s="10" t="inlineStr">
        <is>
          <t>Có</t>
        </is>
      </c>
      <c r="F171" s="10" t="inlineStr">
        <is>
          <t>Không</t>
        </is>
      </c>
      <c r="G171" s="12" t="n">
        <v>0</v>
      </c>
      <c r="H171" s="14">
        <f>G171/68213</f>
        <v/>
      </c>
      <c r="I171" s="10" t="inlineStr">
        <is>
          <t>Từ 15/10/2026 gộp vào XMLComplete_NVYT_KHONG_CO_TRONG_DM / _SAI_DINH_DANG; phần tương ứng (thủ trưởng đơn vị XML14) khi kiểm lại 16/10/2026: 4 HS</t>
        </is>
      </c>
      <c r="J171" s="10" t="inlineStr">
        <is>
          <t>Nghiệp vụ</t>
        </is>
      </c>
      <c r="K171" s="10" t="inlineStr">
        <is>
          <t>Nghiệp vụ – Danh mục</t>
        </is>
      </c>
      <c r="L171" s="10" t="inlineStr">
        <is>
          <t>Phòng TCCB</t>
        </is>
      </c>
      <c r="M171" s="10" t="inlineStr">
        <is>
          <t>Phòng BHYT; CNTT</t>
        </is>
      </c>
      <c r="N171" s="10" t="inlineStr">
        <is>
          <t>Đăng ký người ký thủ trưởng đơn vị trên cổng BHXH; cấu hình đúng người ký trên HIS</t>
        </is>
      </c>
      <c r="O171" s="10" t="inlineStr">
        <is>
          <t>#58</t>
        </is>
      </c>
      <c r="P171" s="17" t="n">
        <v>4</v>
      </c>
    </row>
    <row r="172">
      <c r="A172" s="10" t="n">
        <v>168</v>
      </c>
      <c r="B172" s="10" t="inlineStr">
        <is>
          <t>XML11_INFO_ERROR_MA_TTDV</t>
        </is>
      </c>
      <c r="C172" s="10" t="inlineStr">
        <is>
          <t>XML11</t>
        </is>
      </c>
      <c r="D172" s="10" t="inlineStr">
        <is>
          <t>Thiếu mã thủ trưởng đơn vị</t>
        </is>
      </c>
      <c r="E172" s="10" t="inlineStr">
        <is>
          <t>Có</t>
        </is>
      </c>
      <c r="F172" s="10" t="inlineStr">
        <is>
          <t>Không</t>
        </is>
      </c>
      <c r="G172" s="12" t="n">
        <v>0</v>
      </c>
      <c r="H172" s="14">
        <f>G172/68213</f>
        <v/>
      </c>
      <c r="I172" s="10" t="inlineStr">
        <is>
          <t>Từ 15/10/2026 gộp vào XMLComplete_NVYT_THIEU; phần tương ứng (thủ trưởng đơn vị XML11) khi kiểm lại 16/10/2026: 3 HS</t>
        </is>
      </c>
      <c r="J172" s="10" t="inlineStr">
        <is>
          <t>Kỹ thuật</t>
        </is>
      </c>
      <c r="K172" s="10" t="inlineStr">
        <is>
          <t>Kỹ thuật – HIS</t>
        </is>
      </c>
      <c r="L172" s="10" t="inlineStr">
        <is>
          <t>CNTT</t>
        </is>
      </c>
      <c r="M172" s="10" t="inlineStr">
        <is>
          <t>Phòng KHTH</t>
        </is>
      </c>
      <c r="N172" s="10" t="inlineStr">
        <is>
          <t>Cấu hình người ký thủ trưởng đơn vị trên HIS cho từng loại giấy</t>
        </is>
      </c>
      <c r="O172" s="10" t="n"/>
      <c r="P172" s="17" t="n">
        <v>3</v>
      </c>
    </row>
    <row r="173">
      <c r="A173" s="10" t="n">
        <v>169</v>
      </c>
      <c r="B173" s="10" t="inlineStr">
        <is>
          <t>E1</t>
        </is>
      </c>
      <c r="C173" s="10" t="inlineStr">
        <is>
          <t>XML2</t>
        </is>
      </c>
      <c r="D173" s="10" t="inlineStr"/>
      <c r="E173" s="10" t="inlineStr">
        <is>
          <t>Không</t>
        </is>
      </c>
      <c r="F173" s="10" t="inlineStr">
        <is>
          <t>Có</t>
        </is>
      </c>
      <c r="G173" s="12" t="n">
        <v>0</v>
      </c>
      <c r="H173" s="14">
        <f>G173/68213</f>
        <v/>
      </c>
      <c r="I173" s="10" t="n"/>
      <c r="J173" s="10" t="inlineStr">
        <is>
          <t>Kỹ thuật</t>
        </is>
      </c>
      <c r="K173" s="10" t="inlineStr">
        <is>
          <t>Kỹ thuật – Phần mềm Tiền giám định</t>
        </is>
      </c>
      <c r="L173" s="10" t="inlineStr">
        <is>
          <t>Đơn vị PM Tiền giám định</t>
        </is>
      </c>
      <c r="M173" s="10" t="n"/>
      <c r="N173" s="10" t="inlineStr">
        <is>
          <t>Mã thừa trong danh mục lỗi – rà soát, xoá</t>
        </is>
      </c>
      <c r="O173" s="10" t="n"/>
      <c r="P173" s="17" t="n">
        <v>0</v>
      </c>
    </row>
    <row r="174">
      <c r="A174" s="10" t="n">
        <v>170</v>
      </c>
      <c r="B174" s="10" t="inlineStr">
        <is>
          <t>XML11_INFO_ERROR_DATE_RANGE</t>
        </is>
      </c>
      <c r="C174" s="10" t="inlineStr">
        <is>
          <t>XML11</t>
        </is>
      </c>
      <c r="D174" s="10" t="inlineStr">
        <is>
          <t>Ngày không hợp lệ</t>
        </is>
      </c>
      <c r="E174" s="10" t="inlineStr">
        <is>
          <t>Có</t>
        </is>
      </c>
      <c r="F174" s="10" t="inlineStr">
        <is>
          <t>Có</t>
        </is>
      </c>
      <c r="G174" s="12" t="n">
        <v>0</v>
      </c>
      <c r="H174" s="14">
        <f>G174/68213</f>
        <v/>
      </c>
      <c r="I174" s="10" t="n"/>
      <c r="J174" s="10" t="inlineStr">
        <is>
          <t>Nghiệp vụ</t>
        </is>
      </c>
      <c r="K174" s="10" t="inlineStr">
        <is>
          <t>Nghiệp vụ – Chuyên môn lâm sàng</t>
        </is>
      </c>
      <c r="L174" s="10" t="inlineStr">
        <is>
          <t>Khoa lâm sàng</t>
        </is>
      </c>
      <c r="M174" s="10" t="inlineStr">
        <is>
          <t>Phòng KHTH</t>
        </is>
      </c>
      <c r="N174" s="10" t="inlineStr">
        <is>
          <t>Bác sĩ nhập đủ, đúng nội dung chuyên môn trên HIS; Phòng KHTH kiểm tra</t>
        </is>
      </c>
      <c r="O174" s="10" t="n"/>
      <c r="P174" s="17" t="n">
        <v>0</v>
      </c>
    </row>
    <row r="175">
      <c r="A175" s="10" t="n">
        <v>171</v>
      </c>
      <c r="B175" s="10" t="inlineStr">
        <is>
          <t>XML11_INFO_ERROR_DEN_NGAY_LESS_THAN_NGAY_RA</t>
        </is>
      </c>
      <c r="C175" s="10" t="inlineStr">
        <is>
          <t>XML11</t>
        </is>
      </c>
      <c r="D175" s="10" t="inlineStr">
        <is>
          <t>Đến ngày nhỏ hơn ngày ra</t>
        </is>
      </c>
      <c r="E175" s="10" t="inlineStr">
        <is>
          <t>Có</t>
        </is>
      </c>
      <c r="F175" s="10" t="inlineStr">
        <is>
          <t>Có</t>
        </is>
      </c>
      <c r="G175" s="12" t="n">
        <v>0</v>
      </c>
      <c r="H175" s="14">
        <f>G175/68213</f>
        <v/>
      </c>
      <c r="I175" s="10" t="n"/>
      <c r="J175" s="10" t="inlineStr">
        <is>
          <t>Nghiệp vụ</t>
        </is>
      </c>
      <c r="K175" s="10" t="inlineStr">
        <is>
          <t>Nghiệp vụ – Chuyên môn lâm sàng</t>
        </is>
      </c>
      <c r="L175" s="10" t="inlineStr">
        <is>
          <t>Khoa lâm sàng</t>
        </is>
      </c>
      <c r="M175" s="10" t="inlineStr">
        <is>
          <t>Phòng KHTH</t>
        </is>
      </c>
      <c r="N175" s="10" t="inlineStr">
        <is>
          <t>Bác sĩ nhập đủ, đúng nội dung chuyên môn trên HIS; Phòng KHTH kiểm tra</t>
        </is>
      </c>
      <c r="O175" s="10" t="n"/>
      <c r="P175" s="17" t="n">
        <v>0</v>
      </c>
    </row>
    <row r="176">
      <c r="A176" s="10" t="n">
        <v>172</v>
      </c>
      <c r="B176" s="10" t="inlineStr">
        <is>
          <t>XML11_INFO_ERROR_MA_BHXH_LENGTH</t>
        </is>
      </c>
      <c r="C176" s="10" t="inlineStr">
        <is>
          <t>XML11</t>
        </is>
      </c>
      <c r="D176" s="10" t="inlineStr">
        <is>
          <t>Mã BHXH không hợp lệ</t>
        </is>
      </c>
      <c r="E176" s="10" t="inlineStr">
        <is>
          <t>Có</t>
        </is>
      </c>
      <c r="F176" s="10" t="inlineStr">
        <is>
          <t>Có</t>
        </is>
      </c>
      <c r="G176" s="12" t="n">
        <v>0</v>
      </c>
      <c r="H176" s="14">
        <f>G176/68213</f>
        <v/>
      </c>
      <c r="I176" s="10" t="inlineStr">
        <is>
          <t>Mã BHXH phải có độ dài là 10 ký tự: 037199007057</t>
        </is>
      </c>
      <c r="J176" s="10" t="inlineStr">
        <is>
          <t>Nghiệp vụ</t>
        </is>
      </c>
      <c r="K176" s="10" t="inlineStr">
        <is>
          <t>Nghiệp vụ – Quy định BHYT</t>
        </is>
      </c>
      <c r="L176" s="10" t="inlineStr">
        <is>
          <t>Phòng BHYT</t>
        </is>
      </c>
      <c r="M176" s="10" t="inlineStr">
        <is>
          <t>Tiếp đón; CNTT</t>
        </is>
      </c>
      <c r="N176" s="10" t="inlineStr">
        <is>
          <t>Tiếp đón khai đúng mã đối tượng, giấy chuyển tuyến/hẹn, mức hưởng theo thẻ; HIS chặn khi thiếu</t>
        </is>
      </c>
      <c r="O176" s="10" t="n"/>
      <c r="P176" s="17" t="n">
        <v>0</v>
      </c>
    </row>
    <row r="177">
      <c r="A177" s="10" t="n">
        <v>173</v>
      </c>
      <c r="B177" s="10" t="inlineStr">
        <is>
          <t>XML11_INVALID_MEDICAL_STAFF_MA_TTDV</t>
        </is>
      </c>
      <c r="C177" s="10" t="inlineStr">
        <is>
          <t>XML11</t>
        </is>
      </c>
      <c r="D177" s="10" t="inlineStr">
        <is>
          <t>Mã thủ trưởng đơn vị chưa được duyệt</t>
        </is>
      </c>
      <c r="E177" s="10" t="inlineStr">
        <is>
          <t>Có</t>
        </is>
      </c>
      <c r="F177" s="10" t="inlineStr">
        <is>
          <t>Không</t>
        </is>
      </c>
      <c r="G177" s="12" t="n">
        <v>0</v>
      </c>
      <c r="H177" s="14">
        <f>G177/68213</f>
        <v/>
      </c>
      <c r="I177" s="10" t="inlineStr">
        <is>
          <t>Từ 15/10/2026 gộp vào XMLComplete_NVYT_KHONG_CO_TRONG_DM / _SAI_DINH_DANG; phần tương ứng (thủ trưởng đơn vị XML11) khi kiểm lại 16/10/2026: 0 HS</t>
        </is>
      </c>
      <c r="J177" s="10" t="inlineStr">
        <is>
          <t>Nghiệp vụ</t>
        </is>
      </c>
      <c r="K177" s="10" t="inlineStr">
        <is>
          <t>Nghiệp vụ – Danh mục</t>
        </is>
      </c>
      <c r="L177" s="10" t="inlineStr">
        <is>
          <t>Phòng TCCB</t>
        </is>
      </c>
      <c r="M177" s="10" t="inlineStr">
        <is>
          <t>Phòng BHYT; CNTT</t>
        </is>
      </c>
      <c r="N177" s="10" t="inlineStr">
        <is>
          <t>Đăng ký người ký thủ trưởng đơn vị trên cổng BHXH; cấu hình đúng người ký trên HIS</t>
        </is>
      </c>
      <c r="O177" s="10" t="n"/>
      <c r="P177" s="17" t="n">
        <v>0</v>
      </c>
    </row>
    <row r="178">
      <c r="A178" s="10" t="n">
        <v>174</v>
      </c>
      <c r="B178" s="10" t="inlineStr">
        <is>
          <t>XML13_INFO_ERROR_DAU_HIEU_LS</t>
        </is>
      </c>
      <c r="C178" s="10" t="inlineStr">
        <is>
          <t>XML13</t>
        </is>
      </c>
      <c r="D178" s="10" t="inlineStr">
        <is>
          <t>Thiếu dấu hiệu lâm sàng</t>
        </is>
      </c>
      <c r="E178" s="10" t="inlineStr">
        <is>
          <t>Có</t>
        </is>
      </c>
      <c r="F178" s="10" t="inlineStr">
        <is>
          <t>Có</t>
        </is>
      </c>
      <c r="G178" s="12" t="n">
        <v>0</v>
      </c>
      <c r="H178" s="14">
        <f>G178/68213</f>
        <v/>
      </c>
      <c r="I178" s="10" t="n"/>
      <c r="J178" s="10" t="inlineStr">
        <is>
          <t>Nghiệp vụ</t>
        </is>
      </c>
      <c r="K178" s="10" t="inlineStr">
        <is>
          <t>Nghiệp vụ – Chuyên môn lâm sàng</t>
        </is>
      </c>
      <c r="L178" s="10" t="inlineStr">
        <is>
          <t>Khoa lâm sàng</t>
        </is>
      </c>
      <c r="M178" s="10" t="inlineStr">
        <is>
          <t>Phòng KHTH</t>
        </is>
      </c>
      <c r="N178" s="10" t="inlineStr">
        <is>
          <t>Bác sĩ nhập đủ, đúng nội dung chuyên môn trên HIS; Phòng KHTH kiểm tra</t>
        </is>
      </c>
      <c r="O178" s="10" t="inlineStr">
        <is>
          <t>#56</t>
        </is>
      </c>
      <c r="P178" s="17" t="n">
        <v>0</v>
      </c>
    </row>
    <row r="179">
      <c r="A179" s="10" t="n">
        <v>175</v>
      </c>
      <c r="B179" s="10" t="inlineStr">
        <is>
          <t>XML13_INFO_ERROR_HUONG_DIEU_TRI</t>
        </is>
      </c>
      <c r="C179" s="10" t="inlineStr">
        <is>
          <t>XML13</t>
        </is>
      </c>
      <c r="D179" s="10" t="inlineStr">
        <is>
          <t>Thiếu hướng điều trị</t>
        </is>
      </c>
      <c r="E179" s="10" t="inlineStr">
        <is>
          <t>Có</t>
        </is>
      </c>
      <c r="F179" s="10" t="inlineStr">
        <is>
          <t>Có</t>
        </is>
      </c>
      <c r="G179" s="12" t="n">
        <v>0</v>
      </c>
      <c r="H179" s="14">
        <f>G179/68213</f>
        <v/>
      </c>
      <c r="I179" s="10" t="n"/>
      <c r="J179" s="10" t="inlineStr">
        <is>
          <t>Nghiệp vụ</t>
        </is>
      </c>
      <c r="K179" s="10" t="inlineStr">
        <is>
          <t>Nghiệp vụ – Chuyên môn lâm sàng</t>
        </is>
      </c>
      <c r="L179" s="10" t="inlineStr">
        <is>
          <t>Khoa lâm sàng</t>
        </is>
      </c>
      <c r="M179" s="10" t="inlineStr">
        <is>
          <t>Phòng KHTH</t>
        </is>
      </c>
      <c r="N179" s="10" t="inlineStr">
        <is>
          <t>Bác sĩ nhập đủ, đúng nội dung chuyên môn trên HIS; Phòng KHTH kiểm tra</t>
        </is>
      </c>
      <c r="O179" s="10" t="n"/>
      <c r="P179" s="17" t="n">
        <v>0</v>
      </c>
    </row>
    <row r="180">
      <c r="A180" s="10" t="n">
        <v>176</v>
      </c>
      <c r="B180" s="10" t="inlineStr">
        <is>
          <t>XML13_INFO_ERROR_MA_BENH_CHINH_NOT_FOUND</t>
        </is>
      </c>
      <c r="C180" s="10" t="inlineStr">
        <is>
          <t>XML13</t>
        </is>
      </c>
      <c r="D180" s="10" t="inlineStr">
        <is>
          <t>Mã bệnh chính không tồn tại</t>
        </is>
      </c>
      <c r="E180" s="10" t="inlineStr">
        <is>
          <t>Có</t>
        </is>
      </c>
      <c r="F180" s="10" t="inlineStr">
        <is>
          <t>Có</t>
        </is>
      </c>
      <c r="G180" s="12" t="n">
        <v>0</v>
      </c>
      <c r="H180" s="14">
        <f>G180/68213</f>
        <v/>
      </c>
      <c r="I180" s="10" t="n"/>
      <c r="J180" s="10" t="inlineStr">
        <is>
          <t>Nghiệp vụ</t>
        </is>
      </c>
      <c r="K180" s="10" t="inlineStr">
        <is>
          <t>Nghiệp vụ – Chuyên môn lâm sàng</t>
        </is>
      </c>
      <c r="L180" s="10" t="inlineStr">
        <is>
          <t>Khoa lâm sàng</t>
        </is>
      </c>
      <c r="M180" s="10" t="inlineStr">
        <is>
          <t>Phòng KHTH</t>
        </is>
      </c>
      <c r="N180" s="10" t="inlineStr">
        <is>
          <t>Bác sĩ nhập đủ, đúng nội dung chuyên môn trên HIS; Phòng KHTH kiểm tra</t>
        </is>
      </c>
      <c r="O180" s="10" t="inlineStr">
        <is>
          <t>#54</t>
        </is>
      </c>
      <c r="P180" s="17" t="n">
        <v>0</v>
      </c>
    </row>
    <row r="181">
      <c r="A181" s="10" t="n">
        <v>177</v>
      </c>
      <c r="B181" s="10" t="inlineStr">
        <is>
          <t>XML13_INFO_ERROR_MA_CSKCB_NOT_FOUND</t>
        </is>
      </c>
      <c r="C181" s="10" t="inlineStr">
        <is>
          <t>XML13</t>
        </is>
      </c>
      <c r="D181" s="10" t="inlineStr">
        <is>
          <t>Mã cơ sở KCB không có trong danh mục</t>
        </is>
      </c>
      <c r="E181" s="10" t="inlineStr">
        <is>
          <t>Có</t>
        </is>
      </c>
      <c r="F181" s="10" t="inlineStr">
        <is>
          <t>Có</t>
        </is>
      </c>
      <c r="G181" s="12" t="n">
        <v>0</v>
      </c>
      <c r="H181" s="14">
        <f>G181/68213</f>
        <v/>
      </c>
      <c r="I181" s="10" t="inlineStr">
        <is>
          <t>Mã cơ sở KCB: 37470 không có trong danh mục CSKCB</t>
        </is>
      </c>
      <c r="J181" s="10" t="inlineStr">
        <is>
          <t>Kỹ thuật</t>
        </is>
      </c>
      <c r="K181" s="10" t="inlineStr">
        <is>
          <t>Kỹ thuật – Phần mềm Tiền giám định</t>
        </is>
      </c>
      <c r="L181" s="10" t="inlineStr">
        <is>
          <t>Đơn vị PM Tiền giám định</t>
        </is>
      </c>
      <c r="M181" s="10" t="inlineStr">
        <is>
          <t>CNTT</t>
        </is>
      </c>
      <c r="N181" s="10" t="inlineStr">
        <is>
          <t>Bổ sung cơ sở 37470 vào danh mục CSKCB của phần mềm kiểm</t>
        </is>
      </c>
      <c r="O181" s="10" t="n"/>
      <c r="P181" s="17" t="n">
        <v>0</v>
      </c>
    </row>
    <row r="182">
      <c r="A182" s="10" t="n">
        <v>178</v>
      </c>
      <c r="B182" s="10" t="inlineStr">
        <is>
          <t>XML13_INFO_ERROR_MA_NOI_DEN_NOT_FOUND</t>
        </is>
      </c>
      <c r="C182" s="10" t="inlineStr">
        <is>
          <t>XML13</t>
        </is>
      </c>
      <c r="D182" s="10" t="inlineStr">
        <is>
          <t>Mã nơi đến không có trong danh mục</t>
        </is>
      </c>
      <c r="E182" s="10" t="inlineStr">
        <is>
          <t>Có</t>
        </is>
      </c>
      <c r="F182" s="10" t="inlineStr">
        <is>
          <t>Có</t>
        </is>
      </c>
      <c r="G182" s="12" t="n">
        <v>0</v>
      </c>
      <c r="H182" s="14">
        <f>G182/68213</f>
        <v/>
      </c>
      <c r="I182" s="10" t="n"/>
      <c r="J182" s="10" t="inlineStr">
        <is>
          <t>Nghiệp vụ</t>
        </is>
      </c>
      <c r="K182" s="10" t="inlineStr">
        <is>
          <t>Nghiệp vụ – Hành chính, tiếp đón</t>
        </is>
      </c>
      <c r="L182" s="10" t="inlineStr">
        <is>
          <t>Tiếp đón</t>
        </is>
      </c>
      <c r="M182" s="10" t="inlineStr">
        <is>
          <t>Phòng BHYT</t>
        </is>
      </c>
      <c r="N182" s="10" t="inlineStr">
        <is>
          <t>Nhập đúng mã cơ sở KCB nơi đi/đến/ĐKBĐ (có mã gõ sai như 38230b)</t>
        </is>
      </c>
      <c r="O182" s="10" t="n"/>
      <c r="P182" s="17" t="n">
        <v>0</v>
      </c>
    </row>
    <row r="183">
      <c r="A183" s="10" t="n">
        <v>179</v>
      </c>
      <c r="B183" s="10" t="inlineStr">
        <is>
          <t>XML13_INFO_ERROR_PHUONGTIEN_VC</t>
        </is>
      </c>
      <c r="C183" s="10" t="inlineStr">
        <is>
          <t>XML13</t>
        </is>
      </c>
      <c r="D183" s="10" t="inlineStr">
        <is>
          <t>Thiếu phương tiện vận chuyển</t>
        </is>
      </c>
      <c r="E183" s="10" t="inlineStr">
        <is>
          <t>Có</t>
        </is>
      </c>
      <c r="F183" s="10" t="inlineStr">
        <is>
          <t>Có</t>
        </is>
      </c>
      <c r="G183" s="12" t="n">
        <v>0</v>
      </c>
      <c r="H183" s="14">
        <f>G183/68213</f>
        <v/>
      </c>
      <c r="I183" s="10" t="n"/>
      <c r="J183" s="10" t="inlineStr">
        <is>
          <t>Nghiệp vụ</t>
        </is>
      </c>
      <c r="K183" s="10" t="inlineStr">
        <is>
          <t>Nghiệp vụ – Chuyên môn lâm sàng</t>
        </is>
      </c>
      <c r="L183" s="10" t="inlineStr">
        <is>
          <t>Khoa lâm sàng</t>
        </is>
      </c>
      <c r="M183" s="10" t="inlineStr">
        <is>
          <t>Phòng KHTH</t>
        </is>
      </c>
      <c r="N183" s="10" t="inlineStr">
        <is>
          <t>Bác sĩ nhập đủ, đúng nội dung chuyên môn trên HIS; Phòng KHTH kiểm tra</t>
        </is>
      </c>
      <c r="O183" s="10" t="n"/>
      <c r="P183" s="17" t="n">
        <v>0</v>
      </c>
    </row>
    <row r="184">
      <c r="A184" s="10" t="n">
        <v>180</v>
      </c>
      <c r="B184" s="10" t="inlineStr">
        <is>
          <t>XML13_INFO_ERROR_QT_BENHLY</t>
        </is>
      </c>
      <c r="C184" s="10" t="inlineStr">
        <is>
          <t>XML13</t>
        </is>
      </c>
      <c r="D184" s="10" t="inlineStr">
        <is>
          <t>Thiếu quá trình bệnh lý</t>
        </is>
      </c>
      <c r="E184" s="10" t="inlineStr">
        <is>
          <t>Có</t>
        </is>
      </c>
      <c r="F184" s="10" t="inlineStr">
        <is>
          <t>Có</t>
        </is>
      </c>
      <c r="G184" s="12" t="n">
        <v>0</v>
      </c>
      <c r="H184" s="14">
        <f>G184/68213</f>
        <v/>
      </c>
      <c r="I184" s="10" t="n"/>
      <c r="J184" s="10" t="inlineStr">
        <is>
          <t>Nghiệp vụ</t>
        </is>
      </c>
      <c r="K184" s="10" t="inlineStr">
        <is>
          <t>Nghiệp vụ – Chuyên môn lâm sàng</t>
        </is>
      </c>
      <c r="L184" s="10" t="inlineStr">
        <is>
          <t>Khoa lâm sàng</t>
        </is>
      </c>
      <c r="M184" s="10" t="inlineStr">
        <is>
          <t>Phòng KHTH</t>
        </is>
      </c>
      <c r="N184" s="10" t="inlineStr">
        <is>
          <t>Bác sĩ nhập đủ, đúng nội dung chuyên môn trên HIS; Phòng KHTH kiểm tra</t>
        </is>
      </c>
      <c r="O184" s="10" t="inlineStr">
        <is>
          <t>#56</t>
        </is>
      </c>
      <c r="P184" s="17" t="n">
        <v>0</v>
      </c>
    </row>
    <row r="185">
      <c r="A185" s="10" t="n">
        <v>181</v>
      </c>
      <c r="B185" s="10" t="inlineStr">
        <is>
          <t>XML13_INFO_ERROR_TEN_DICH_VU</t>
        </is>
      </c>
      <c r="C185" s="10" t="inlineStr">
        <is>
          <t>XML13</t>
        </is>
      </c>
      <c r="D185" s="10" t="inlineStr">
        <is>
          <t>Thiếu dịch vụ</t>
        </is>
      </c>
      <c r="E185" s="10" t="inlineStr">
        <is>
          <t>Có</t>
        </is>
      </c>
      <c r="F185" s="10" t="inlineStr">
        <is>
          <t>Có</t>
        </is>
      </c>
      <c r="G185" s="12" t="n">
        <v>0</v>
      </c>
      <c r="H185" s="14">
        <f>G185/68213</f>
        <v/>
      </c>
      <c r="I185" s="10" t="n"/>
      <c r="J185" s="10" t="inlineStr">
        <is>
          <t>Nghiệp vụ</t>
        </is>
      </c>
      <c r="K185" s="10" t="inlineStr">
        <is>
          <t>Nghiệp vụ – Chuyên môn lâm sàng</t>
        </is>
      </c>
      <c r="L185" s="10" t="inlineStr">
        <is>
          <t>Khoa lâm sàng</t>
        </is>
      </c>
      <c r="M185" s="10" t="inlineStr">
        <is>
          <t>Phòng KHTH</t>
        </is>
      </c>
      <c r="N185" s="10" t="inlineStr">
        <is>
          <t>Bác sĩ nhập đủ, đúng nội dung chuyên môn trên HIS; Phòng KHTH kiểm tra</t>
        </is>
      </c>
      <c r="O185" s="10" t="n"/>
      <c r="P185" s="17" t="n">
        <v>0</v>
      </c>
    </row>
    <row r="186">
      <c r="A186" s="10" t="n">
        <v>182</v>
      </c>
      <c r="B186" s="10" t="inlineStr">
        <is>
          <t>XML13_INFO_ERROR_TEN_DICH_VU_LENGTH</t>
        </is>
      </c>
      <c r="C186" s="10" t="inlineStr">
        <is>
          <t>XML13</t>
        </is>
      </c>
      <c r="D186" s="10" t="inlineStr">
        <is>
          <t>Tên dịch vụ vượt quá 1024 ký tự</t>
        </is>
      </c>
      <c r="E186" s="10" t="inlineStr">
        <is>
          <t>Có</t>
        </is>
      </c>
      <c r="F186" s="10" t="inlineStr">
        <is>
          <t>Có</t>
        </is>
      </c>
      <c r="G186" s="12" t="n">
        <v>0</v>
      </c>
      <c r="H186" s="14">
        <f>G186/68213</f>
        <v/>
      </c>
      <c r="I186" s="10" t="n"/>
      <c r="J186" s="10" t="inlineStr">
        <is>
          <t>Kỹ thuật</t>
        </is>
      </c>
      <c r="K186" s="10" t="inlineStr">
        <is>
          <t>Kỹ thuật – HIS</t>
        </is>
      </c>
      <c r="L186" s="10" t="inlineStr">
        <is>
          <t>CNTT</t>
        </is>
      </c>
      <c r="M186" s="10" t="inlineStr">
        <is>
          <t>Phòng KHTH; Khoa Dược</t>
        </is>
      </c>
      <c r="N186" s="10" t="inlineStr">
        <is>
          <t>Sửa ánh xạ/định dạng dữ liệu khi HIS xuất XML; bắt buộc nhập trường còn thiếu</t>
        </is>
      </c>
      <c r="O186" s="10" t="n"/>
      <c r="P186" s="17" t="n">
        <v>0</v>
      </c>
    </row>
    <row r="187">
      <c r="A187" s="10" t="n">
        <v>183</v>
      </c>
      <c r="B187" s="10" t="inlineStr">
        <is>
          <t>XML13_INFO_ERROR_TEN_THUOC_LENGTH</t>
        </is>
      </c>
      <c r="C187" s="10" t="inlineStr">
        <is>
          <t>XML13</t>
        </is>
      </c>
      <c r="D187" s="10" t="inlineStr">
        <is>
          <t>Tên thuốc vượt quá 1024 ký tự</t>
        </is>
      </c>
      <c r="E187" s="10" t="inlineStr">
        <is>
          <t>Có</t>
        </is>
      </c>
      <c r="F187" s="10" t="inlineStr">
        <is>
          <t>Có</t>
        </is>
      </c>
      <c r="G187" s="12" t="n">
        <v>0</v>
      </c>
      <c r="H187" s="14">
        <f>G187/68213</f>
        <v/>
      </c>
      <c r="I187" s="10" t="n"/>
      <c r="J187" s="10" t="inlineStr">
        <is>
          <t>Kỹ thuật</t>
        </is>
      </c>
      <c r="K187" s="10" t="inlineStr">
        <is>
          <t>Kỹ thuật – HIS</t>
        </is>
      </c>
      <c r="L187" s="10" t="inlineStr">
        <is>
          <t>CNTT</t>
        </is>
      </c>
      <c r="M187" s="10" t="inlineStr">
        <is>
          <t>Phòng KHTH; Khoa Dược</t>
        </is>
      </c>
      <c r="N187" s="10" t="inlineStr">
        <is>
          <t>Sửa ánh xạ/định dạng dữ liệu khi HIS xuất XML; bắt buộc nhập trường còn thiếu</t>
        </is>
      </c>
      <c r="O187" s="10" t="n"/>
      <c r="P187" s="17" t="n">
        <v>0</v>
      </c>
    </row>
    <row r="188">
      <c r="A188" s="10" t="n">
        <v>184</v>
      </c>
      <c r="B188" s="10" t="inlineStr">
        <is>
          <t>XML13_INFO_ERROR_TINH_TRANG_CT</t>
        </is>
      </c>
      <c r="C188" s="10" t="inlineStr">
        <is>
          <t>XML13</t>
        </is>
      </c>
      <c r="D188" s="10" t="inlineStr">
        <is>
          <t>Thiếu tình trạng chuyển tuyến</t>
        </is>
      </c>
      <c r="E188" s="10" t="inlineStr">
        <is>
          <t>Có</t>
        </is>
      </c>
      <c r="F188" s="10" t="inlineStr">
        <is>
          <t>Có</t>
        </is>
      </c>
      <c r="G188" s="12" t="n">
        <v>0</v>
      </c>
      <c r="H188" s="14">
        <f>G188/68213</f>
        <v/>
      </c>
      <c r="I188" s="10" t="n"/>
      <c r="J188" s="10" t="inlineStr">
        <is>
          <t>Nghiệp vụ</t>
        </is>
      </c>
      <c r="K188" s="10" t="inlineStr">
        <is>
          <t>Nghiệp vụ – Chuyên môn lâm sàng</t>
        </is>
      </c>
      <c r="L188" s="10" t="inlineStr">
        <is>
          <t>Khoa lâm sàng</t>
        </is>
      </c>
      <c r="M188" s="10" t="inlineStr">
        <is>
          <t>Phòng KHTH</t>
        </is>
      </c>
      <c r="N188" s="10" t="inlineStr">
        <is>
          <t>Bác sĩ nhập đủ, đúng nội dung chuyên môn trên HIS; Phòng KHTH kiểm tra</t>
        </is>
      </c>
      <c r="O188" s="10" t="n"/>
      <c r="P188" s="17" t="n">
        <v>0</v>
      </c>
    </row>
    <row r="189">
      <c r="A189" s="10" t="n">
        <v>185</v>
      </c>
      <c r="B189" s="10" t="inlineStr">
        <is>
          <t>XML13_INFO_ERROR_TOMTAT_KQ</t>
        </is>
      </c>
      <c r="C189" s="10" t="inlineStr">
        <is>
          <t>XML13</t>
        </is>
      </c>
      <c r="D189" s="10" t="inlineStr">
        <is>
          <t>Thiếu tóm tắt kết quả</t>
        </is>
      </c>
      <c r="E189" s="10" t="inlineStr">
        <is>
          <t>Có</t>
        </is>
      </c>
      <c r="F189" s="10" t="inlineStr">
        <is>
          <t>Có</t>
        </is>
      </c>
      <c r="G189" s="12" t="n">
        <v>0</v>
      </c>
      <c r="H189" s="14">
        <f>G189/68213</f>
        <v/>
      </c>
      <c r="I189" s="10" t="n"/>
      <c r="J189" s="10" t="inlineStr">
        <is>
          <t>Nghiệp vụ</t>
        </is>
      </c>
      <c r="K189" s="10" t="inlineStr">
        <is>
          <t>Nghiệp vụ – Chuyên môn lâm sàng</t>
        </is>
      </c>
      <c r="L189" s="10" t="inlineStr">
        <is>
          <t>Khoa lâm sàng</t>
        </is>
      </c>
      <c r="M189" s="10" t="inlineStr">
        <is>
          <t>Phòng KHTH</t>
        </is>
      </c>
      <c r="N189" s="10" t="inlineStr">
        <is>
          <t>Bác sĩ nhập đủ, đúng nội dung chuyên môn trên HIS; Phòng KHTH kiểm tra</t>
        </is>
      </c>
      <c r="O189" s="10" t="inlineStr">
        <is>
          <t>#56</t>
        </is>
      </c>
      <c r="P189" s="17" t="n">
        <v>0</v>
      </c>
    </row>
    <row r="190">
      <c r="A190" s="10" t="n">
        <v>186</v>
      </c>
      <c r="B190" s="10" t="inlineStr">
        <is>
          <t>XML14_INFO_ERROR_MA_DOITUONG_KCB</t>
        </is>
      </c>
      <c r="C190" s="10" t="inlineStr">
        <is>
          <t>XML14</t>
        </is>
      </c>
      <c r="D190" s="10" t="inlineStr">
        <is>
          <t>Thiếu mã đối tượng KCB</t>
        </is>
      </c>
      <c r="E190" s="10" t="inlineStr">
        <is>
          <t>Có</t>
        </is>
      </c>
      <c r="F190" s="10" t="inlineStr">
        <is>
          <t>Có</t>
        </is>
      </c>
      <c r="G190" s="12" t="n">
        <v>0</v>
      </c>
      <c r="H190" s="14">
        <f>G190/68213</f>
        <v/>
      </c>
      <c r="I190" s="10" t="n"/>
      <c r="J190" s="10" t="inlineStr">
        <is>
          <t>Nghiệp vụ</t>
        </is>
      </c>
      <c r="K190" s="10" t="inlineStr">
        <is>
          <t>Nghiệp vụ – Quy định BHYT</t>
        </is>
      </c>
      <c r="L190" s="10" t="inlineStr">
        <is>
          <t>Phòng BHYT</t>
        </is>
      </c>
      <c r="M190" s="10" t="inlineStr">
        <is>
          <t>Tiếp đón; CNTT</t>
        </is>
      </c>
      <c r="N190" s="10" t="inlineStr">
        <is>
          <t>Tiếp đón khai đúng mã đối tượng, giấy chuyển tuyến/hẹn, mức hưởng theo thẻ; HIS chặn khi thiếu</t>
        </is>
      </c>
      <c r="O190" s="10" t="n"/>
      <c r="P190" s="17" t="n">
        <v>0</v>
      </c>
    </row>
    <row r="191">
      <c r="A191" s="10" t="n">
        <v>187</v>
      </c>
      <c r="B191" s="10" t="inlineStr">
        <is>
          <t>XML14_INFO_ERROR_NGAY_HEN_KL</t>
        </is>
      </c>
      <c r="C191" s="10" t="inlineStr">
        <is>
          <t>XML14</t>
        </is>
      </c>
      <c r="D191" s="10" t="inlineStr">
        <is>
          <t>Thiếu ngày hẹn khám lại</t>
        </is>
      </c>
      <c r="E191" s="10" t="inlineStr">
        <is>
          <t>Có</t>
        </is>
      </c>
      <c r="F191" s="10" t="inlineStr">
        <is>
          <t>Có</t>
        </is>
      </c>
      <c r="G191" s="12" t="n">
        <v>0</v>
      </c>
      <c r="H191" s="14">
        <f>G191/68213</f>
        <v/>
      </c>
      <c r="I191" s="10" t="n"/>
      <c r="J191" s="10" t="inlineStr">
        <is>
          <t>Nghiệp vụ</t>
        </is>
      </c>
      <c r="K191" s="10" t="inlineStr">
        <is>
          <t>Nghiệp vụ – Chuyên môn lâm sàng</t>
        </is>
      </c>
      <c r="L191" s="10" t="inlineStr">
        <is>
          <t>Khoa lâm sàng</t>
        </is>
      </c>
      <c r="M191" s="10" t="inlineStr">
        <is>
          <t>Phòng KHTH</t>
        </is>
      </c>
      <c r="N191" s="10" t="inlineStr">
        <is>
          <t>Bác sĩ nhập đủ, đúng nội dung chuyên môn trên HIS; Phòng KHTH kiểm tra</t>
        </is>
      </c>
      <c r="O191" s="10" t="n"/>
      <c r="P191" s="17" t="n">
        <v>0</v>
      </c>
    </row>
    <row r="192">
      <c r="A192" s="10" t="n">
        <v>188</v>
      </c>
      <c r="B192" s="10" t="inlineStr">
        <is>
          <t>XML14_INFO_ERROR_SO_GIAYHEN_KL</t>
        </is>
      </c>
      <c r="C192" s="10" t="inlineStr">
        <is>
          <t>XML14</t>
        </is>
      </c>
      <c r="D192" s="10" t="inlineStr">
        <is>
          <t>Thiếu số giấy hẹn khám lại</t>
        </is>
      </c>
      <c r="E192" s="10" t="inlineStr">
        <is>
          <t>Có</t>
        </is>
      </c>
      <c r="F192" s="10" t="inlineStr">
        <is>
          <t>Có</t>
        </is>
      </c>
      <c r="G192" s="12" t="n">
        <v>0</v>
      </c>
      <c r="H192" s="14">
        <f>G192/68213</f>
        <v/>
      </c>
      <c r="I192" s="10" t="n"/>
      <c r="J192" s="10" t="inlineStr">
        <is>
          <t>Nghiệp vụ</t>
        </is>
      </c>
      <c r="K192" s="10" t="inlineStr">
        <is>
          <t>Nghiệp vụ – Chuyên môn lâm sàng</t>
        </is>
      </c>
      <c r="L192" s="10" t="inlineStr">
        <is>
          <t>Khoa lâm sàng</t>
        </is>
      </c>
      <c r="M192" s="10" t="inlineStr">
        <is>
          <t>Phòng KHTH</t>
        </is>
      </c>
      <c r="N192" s="10" t="inlineStr">
        <is>
          <t>Bác sĩ nhập đủ, đúng nội dung chuyên môn trên HIS; Phòng KHTH kiểm tra</t>
        </is>
      </c>
      <c r="O192" s="10" t="n"/>
      <c r="P192" s="17" t="n">
        <v>0</v>
      </c>
    </row>
    <row r="193">
      <c r="A193" s="10" t="n">
        <v>189</v>
      </c>
      <c r="B193" s="10" t="inlineStr">
        <is>
          <t>XML1_ADMIN_INFO_ERROR_CAN_NANG</t>
        </is>
      </c>
      <c r="C193" s="10" t="inlineStr">
        <is>
          <t>XML1</t>
        </is>
      </c>
      <c r="D193" s="10" t="inlineStr">
        <is>
          <t>Thiếu cân nặng</t>
        </is>
      </c>
      <c r="E193" s="10" t="inlineStr">
        <is>
          <t>Có</t>
        </is>
      </c>
      <c r="F193" s="10" t="inlineStr">
        <is>
          <t>Có</t>
        </is>
      </c>
      <c r="G193" s="12" t="n">
        <v>0</v>
      </c>
      <c r="H193" s="14">
        <f>G193/68213</f>
        <v/>
      </c>
      <c r="I193" s="10" t="n"/>
      <c r="J193" s="10" t="inlineStr">
        <is>
          <t>Nghiệp vụ</t>
        </is>
      </c>
      <c r="K193" s="10" t="inlineStr">
        <is>
          <t>Nghiệp vụ – Hành chính, tiếp đón</t>
        </is>
      </c>
      <c r="L193" s="10" t="inlineStr">
        <is>
          <t>Tiếp đón</t>
        </is>
      </c>
      <c r="M193" s="10" t="inlineStr">
        <is>
          <t>CNTT</t>
        </is>
      </c>
      <c r="N193" s="10" t="inlineStr">
        <is>
          <t>Tiếp đón nhập đủ thông tin hành chính; HIS bắt buộc trường bắt buộc</t>
        </is>
      </c>
      <c r="O193" s="10" t="inlineStr">
        <is>
          <t>#9</t>
        </is>
      </c>
      <c r="P193" s="17" t="n">
        <v>0</v>
      </c>
    </row>
    <row r="194">
      <c r="A194" s="10" t="n">
        <v>190</v>
      </c>
      <c r="B194" s="10" t="inlineStr">
        <is>
          <t>XML1_ADMIN_INFO_ERROR_MAHUYEN_CU_TRU</t>
        </is>
      </c>
      <c r="C194" s="10" t="inlineStr">
        <is>
          <t>XML1</t>
        </is>
      </c>
      <c r="D194" s="10" t="inlineStr">
        <is>
          <t>Thiếu mã quận huyện</t>
        </is>
      </c>
      <c r="E194" s="10" t="inlineStr">
        <is>
          <t>Có</t>
        </is>
      </c>
      <c r="F194" s="10" t="inlineStr">
        <is>
          <t>Không</t>
        </is>
      </c>
      <c r="G194" s="12" t="n">
        <v>0</v>
      </c>
      <c r="H194" s="14">
        <f>G194/68213</f>
        <v/>
      </c>
      <c r="I194" s="10" t="n"/>
      <c r="J194" s="10" t="inlineStr">
        <is>
          <t>Nghiệp vụ</t>
        </is>
      </c>
      <c r="K194" s="10" t="inlineStr">
        <is>
          <t>Nghiệp vụ – Hành chính, tiếp đón</t>
        </is>
      </c>
      <c r="L194" s="10" t="inlineStr">
        <is>
          <t>Tiếp đón</t>
        </is>
      </c>
      <c r="M194" s="10" t="inlineStr">
        <is>
          <t>CNTT</t>
        </is>
      </c>
      <c r="N194" s="10" t="inlineStr">
        <is>
          <t>Tiếp đón nhập đủ thông tin hành chính; HIS bắt buộc trường bắt buộc</t>
        </is>
      </c>
      <c r="O194" s="10" t="n"/>
      <c r="P194" s="17" t="n">
        <v>0</v>
      </c>
    </row>
    <row r="195">
      <c r="A195" s="10" t="n">
        <v>191</v>
      </c>
      <c r="B195" s="10" t="inlineStr">
        <is>
          <t>XML1_ADMIN_INFO_ERROR_MAHUYEN_CU_TRU_NOT_FOUND</t>
        </is>
      </c>
      <c r="C195" s="10" t="inlineStr">
        <is>
          <t>XML1</t>
        </is>
      </c>
      <c r="D195" s="10" t="inlineStr">
        <is>
          <t>Mã quận huyện không tồn tại</t>
        </is>
      </c>
      <c r="E195" s="10" t="inlineStr">
        <is>
          <t>Có</t>
        </is>
      </c>
      <c r="F195" s="10" t="inlineStr">
        <is>
          <t>Không</t>
        </is>
      </c>
      <c r="G195" s="12" t="n">
        <v>0</v>
      </c>
      <c r="H195" s="14">
        <f>G195/68213</f>
        <v/>
      </c>
      <c r="I195" s="10" t="n"/>
      <c r="J195" s="10" t="inlineStr">
        <is>
          <t>Kỹ thuật</t>
        </is>
      </c>
      <c r="K195" s="10" t="inlineStr">
        <is>
          <t>Kỹ thuật – HIS</t>
        </is>
      </c>
      <c r="L195" s="10" t="inlineStr">
        <is>
          <t>CNTT</t>
        </is>
      </c>
      <c r="M195" s="10" t="inlineStr">
        <is>
          <t>Tiếp đón</t>
        </is>
      </c>
      <c r="N195" s="10" t="inlineStr">
        <is>
          <t>Cập nhật danh mục hành chính 2 cấp và danh mục nghề nghiệp trên HIS; khoá mã cũ</t>
        </is>
      </c>
      <c r="O195" s="10" t="n"/>
      <c r="P195" s="17" t="n">
        <v>0</v>
      </c>
    </row>
    <row r="196">
      <c r="A196" s="10" t="n">
        <v>192</v>
      </c>
      <c r="B196" s="10" t="inlineStr">
        <is>
          <t>XML1_ADMIN_INFO_ERROR_MAHUYEN_CU_TRU_NOT_FOUND_IN_MATINH_CU_TRU</t>
        </is>
      </c>
      <c r="C196" s="10" t="inlineStr">
        <is>
          <t>XML1</t>
        </is>
      </c>
      <c r="D196" s="10" t="inlineStr">
        <is>
          <t>Mã quận huyện không thuộc mã tỉnh</t>
        </is>
      </c>
      <c r="E196" s="10" t="inlineStr">
        <is>
          <t>Có</t>
        </is>
      </c>
      <c r="F196" s="10" t="inlineStr">
        <is>
          <t>Không</t>
        </is>
      </c>
      <c r="G196" s="12" t="n">
        <v>0</v>
      </c>
      <c r="H196" s="14">
        <f>G196/68213</f>
        <v/>
      </c>
      <c r="I196" s="10" t="n"/>
      <c r="J196" s="10" t="inlineStr">
        <is>
          <t>Kỹ thuật</t>
        </is>
      </c>
      <c r="K196" s="10" t="inlineStr">
        <is>
          <t>Kỹ thuật – HIS</t>
        </is>
      </c>
      <c r="L196" s="10" t="inlineStr">
        <is>
          <t>CNTT</t>
        </is>
      </c>
      <c r="M196" s="10" t="inlineStr">
        <is>
          <t>Tiếp đón</t>
        </is>
      </c>
      <c r="N196" s="10" t="inlineStr">
        <is>
          <t>Cập nhật danh mục hành chính 2 cấp và danh mục nghề nghiệp trên HIS; khoá mã cũ</t>
        </is>
      </c>
      <c r="O196" s="10" t="n"/>
      <c r="P196" s="17" t="n">
        <v>0</v>
      </c>
    </row>
    <row r="197">
      <c r="A197" s="10" t="n">
        <v>193</v>
      </c>
      <c r="B197" s="10" t="inlineStr">
        <is>
          <t>XML1_ADMIN_INFO_ERROR_MATINH_CU_TRU</t>
        </is>
      </c>
      <c r="C197" s="10" t="inlineStr">
        <is>
          <t>XML1</t>
        </is>
      </c>
      <c r="D197" s="10" t="inlineStr">
        <is>
          <t>Thiếu mã tỉnh</t>
        </is>
      </c>
      <c r="E197" s="10" t="inlineStr">
        <is>
          <t>Có</t>
        </is>
      </c>
      <c r="F197" s="10" t="inlineStr">
        <is>
          <t>Có</t>
        </is>
      </c>
      <c r="G197" s="12" t="n">
        <v>0</v>
      </c>
      <c r="H197" s="14">
        <f>G197/68213</f>
        <v/>
      </c>
      <c r="I197" s="10" t="n"/>
      <c r="J197" s="10" t="inlineStr">
        <is>
          <t>Nghiệp vụ</t>
        </is>
      </c>
      <c r="K197" s="10" t="inlineStr">
        <is>
          <t>Nghiệp vụ – Hành chính, tiếp đón</t>
        </is>
      </c>
      <c r="L197" s="10" t="inlineStr">
        <is>
          <t>Tiếp đón</t>
        </is>
      </c>
      <c r="M197" s="10" t="inlineStr">
        <is>
          <t>CNTT</t>
        </is>
      </c>
      <c r="N197" s="10" t="inlineStr">
        <is>
          <t>Tiếp đón nhập đủ thông tin hành chính; HIS bắt buộc trường bắt buộc</t>
        </is>
      </c>
      <c r="O197" s="10" t="inlineStr">
        <is>
          <t>#2</t>
        </is>
      </c>
      <c r="P197" s="17" t="n">
        <v>0</v>
      </c>
    </row>
    <row r="198">
      <c r="A198" s="10" t="n">
        <v>194</v>
      </c>
      <c r="B198" s="10" t="inlineStr">
        <is>
          <t>XML1_ADMIN_INFO_ERROR_MAXA_CU_TRU</t>
        </is>
      </c>
      <c r="C198" s="10" t="inlineStr">
        <is>
          <t>XML1</t>
        </is>
      </c>
      <c r="D198" s="10" t="inlineStr">
        <is>
          <t>Thiếu mã phường xã</t>
        </is>
      </c>
      <c r="E198" s="10" t="inlineStr">
        <is>
          <t>Có</t>
        </is>
      </c>
      <c r="F198" s="10" t="inlineStr">
        <is>
          <t>Có</t>
        </is>
      </c>
      <c r="G198" s="12" t="n">
        <v>0</v>
      </c>
      <c r="H198" s="14">
        <f>G198/68213</f>
        <v/>
      </c>
      <c r="I198" s="10" t="n"/>
      <c r="J198" s="10" t="inlineStr">
        <is>
          <t>Nghiệp vụ</t>
        </is>
      </c>
      <c r="K198" s="10" t="inlineStr">
        <is>
          <t>Nghiệp vụ – Hành chính, tiếp đón</t>
        </is>
      </c>
      <c r="L198" s="10" t="inlineStr">
        <is>
          <t>Tiếp đón</t>
        </is>
      </c>
      <c r="M198" s="10" t="inlineStr">
        <is>
          <t>CNTT</t>
        </is>
      </c>
      <c r="N198" s="10" t="inlineStr">
        <is>
          <t>Tiếp đón nhập đủ thông tin hành chính; HIS bắt buộc trường bắt buộc</t>
        </is>
      </c>
      <c r="O198" s="10" t="n"/>
      <c r="P198" s="17" t="n">
        <v>0</v>
      </c>
    </row>
    <row r="199">
      <c r="A199" s="10" t="n">
        <v>195</v>
      </c>
      <c r="B199" s="10" t="inlineStr">
        <is>
          <t>XML1_ADMIN_INFO_ERROR_MAXA_CU_TRU_NOT_FOUND_IN_MAHUYEN_CU_TRU</t>
        </is>
      </c>
      <c r="C199" s="10" t="inlineStr">
        <is>
          <t>XML1</t>
        </is>
      </c>
      <c r="D199" s="10" t="inlineStr">
        <is>
          <t>Mã phường xã không thuộc mã quận huyện</t>
        </is>
      </c>
      <c r="E199" s="10" t="inlineStr">
        <is>
          <t>Có</t>
        </is>
      </c>
      <c r="F199" s="10" t="inlineStr">
        <is>
          <t>Không</t>
        </is>
      </c>
      <c r="G199" s="12" t="n">
        <v>0</v>
      </c>
      <c r="H199" s="14">
        <f>G199/68213</f>
        <v/>
      </c>
      <c r="I199" s="10" t="n"/>
      <c r="J199" s="10" t="inlineStr">
        <is>
          <t>Kỹ thuật</t>
        </is>
      </c>
      <c r="K199" s="10" t="inlineStr">
        <is>
          <t>Kỹ thuật – HIS</t>
        </is>
      </c>
      <c r="L199" s="10" t="inlineStr">
        <is>
          <t>CNTT</t>
        </is>
      </c>
      <c r="M199" s="10" t="inlineStr">
        <is>
          <t>Tiếp đón</t>
        </is>
      </c>
      <c r="N199" s="10" t="inlineStr">
        <is>
          <t>Cập nhật danh mục hành chính 2 cấp và danh mục nghề nghiệp trên HIS; khoá mã cũ</t>
        </is>
      </c>
      <c r="O199" s="10" t="n"/>
      <c r="P199" s="17" t="n">
        <v>0</v>
      </c>
    </row>
    <row r="200">
      <c r="A200" s="10" t="n">
        <v>196</v>
      </c>
      <c r="B200" s="10" t="inlineStr">
        <is>
          <t>XML1_ADMIN_INFO_ERROR_MAXA_NOT_IN_MATINH</t>
        </is>
      </c>
      <c r="C200" s="10" t="inlineStr">
        <is>
          <t>XML1</t>
        </is>
      </c>
      <c r="D200" s="10" t="inlineStr">
        <is>
          <t>Mã xã không thuộc tỉnh cư trú</t>
        </is>
      </c>
      <c r="E200" s="10" t="inlineStr">
        <is>
          <t>Có</t>
        </is>
      </c>
      <c r="F200" s="10" t="inlineStr">
        <is>
          <t>Có</t>
        </is>
      </c>
      <c r="G200" s="12" t="n">
        <v>0</v>
      </c>
      <c r="H200" s="14">
        <f>G200/68213</f>
        <v/>
      </c>
      <c r="I200" s="10" t="inlineStr">
        <is>
          <t>Mã xã 13708 không thuộc tỉnh 37</t>
        </is>
      </c>
      <c r="J200" s="10" t="inlineStr">
        <is>
          <t>Kỹ thuật</t>
        </is>
      </c>
      <c r="K200" s="10" t="inlineStr">
        <is>
          <t>Kỹ thuật – HIS</t>
        </is>
      </c>
      <c r="L200" s="10" t="inlineStr">
        <is>
          <t>CNTT</t>
        </is>
      </c>
      <c r="M200" s="10" t="inlineStr">
        <is>
          <t>Tiếp đón</t>
        </is>
      </c>
      <c r="N200" s="10" t="inlineStr">
        <is>
          <t>Cập nhật danh mục hành chính 2 cấp và danh mục nghề nghiệp trên HIS; khoá mã cũ</t>
        </is>
      </c>
      <c r="O200" s="10" t="n"/>
      <c r="P200" s="17" t="n">
        <v>0</v>
      </c>
    </row>
    <row r="201">
      <c r="A201" s="10" t="n">
        <v>197</v>
      </c>
      <c r="B201" s="10" t="inlineStr">
        <is>
          <t>XML1_ADMIN_INFO_ERROR_MA_CSKCB_NOT_FOUND</t>
        </is>
      </c>
      <c r="C201" s="10" t="inlineStr">
        <is>
          <t>XML1</t>
        </is>
      </c>
      <c r="D201" s="10" t="inlineStr">
        <is>
          <t>Mã cơ sở KCB không có trong danh mục</t>
        </is>
      </c>
      <c r="E201" s="10" t="inlineStr">
        <is>
          <t>Có</t>
        </is>
      </c>
      <c r="F201" s="10" t="inlineStr">
        <is>
          <t>Có</t>
        </is>
      </c>
      <c r="G201" s="12" t="n">
        <v>0</v>
      </c>
      <c r="H201" s="14">
        <f>G201/68213</f>
        <v/>
      </c>
      <c r="I201" s="10" t="inlineStr">
        <is>
          <t>Mã cơ sở KCB: 37470 không có trong danh mục CSKCB</t>
        </is>
      </c>
      <c r="J201" s="10" t="inlineStr">
        <is>
          <t>Kỹ thuật</t>
        </is>
      </c>
      <c r="K201" s="10" t="inlineStr">
        <is>
          <t>Kỹ thuật – Phần mềm Tiền giám định</t>
        </is>
      </c>
      <c r="L201" s="10" t="inlineStr">
        <is>
          <t>Đơn vị PM Tiền giám định</t>
        </is>
      </c>
      <c r="M201" s="10" t="inlineStr">
        <is>
          <t>CNTT</t>
        </is>
      </c>
      <c r="N201" s="10" t="inlineStr">
        <is>
          <t>Bổ sung cơ sở 37470 vào danh mục CSKCB của phần mềm kiểm</t>
        </is>
      </c>
      <c r="O201" s="10" t="n"/>
      <c r="P201" s="17" t="n">
        <v>0</v>
      </c>
    </row>
    <row r="202">
      <c r="A202" s="10" t="n">
        <v>198</v>
      </c>
      <c r="B202" s="10" t="inlineStr">
        <is>
          <t>XML1_ADMIN_INFO_ERROR_MA_DOITUONG_KCB</t>
        </is>
      </c>
      <c r="C202" s="10" t="inlineStr">
        <is>
          <t>XML1</t>
        </is>
      </c>
      <c r="D202" s="10" t="inlineStr">
        <is>
          <t>Thiếu mã đối tượng KCB</t>
        </is>
      </c>
      <c r="E202" s="10" t="inlineStr">
        <is>
          <t>Có</t>
        </is>
      </c>
      <c r="F202" s="10" t="inlineStr">
        <is>
          <t>Có</t>
        </is>
      </c>
      <c r="G202" s="12" t="n">
        <v>0</v>
      </c>
      <c r="H202" s="14">
        <f>G202/68213</f>
        <v/>
      </c>
      <c r="I202" s="10" t="n"/>
      <c r="J202" s="10" t="inlineStr">
        <is>
          <t>Nghiệp vụ</t>
        </is>
      </c>
      <c r="K202" s="10" t="inlineStr">
        <is>
          <t>Nghiệp vụ – Quy định BHYT</t>
        </is>
      </c>
      <c r="L202" s="10" t="inlineStr">
        <is>
          <t>Phòng BHYT</t>
        </is>
      </c>
      <c r="M202" s="10" t="inlineStr">
        <is>
          <t>Tiếp đón; CNTT</t>
        </is>
      </c>
      <c r="N202" s="10" t="inlineStr">
        <is>
          <t>Tiếp đón khai đúng mã đối tượng, giấy chuyển tuyến/hẹn, mức hưởng theo thẻ; HIS chặn khi thiếu</t>
        </is>
      </c>
      <c r="O202" s="10" t="inlineStr">
        <is>
          <t>#15</t>
        </is>
      </c>
      <c r="P202" s="17" t="n">
        <v>0</v>
      </c>
    </row>
    <row r="203">
      <c r="A203" s="10" t="n">
        <v>199</v>
      </c>
      <c r="B203" s="10" t="inlineStr">
        <is>
          <t>XML1_ADMIN_INFO_ERROR_MA_KHUVUC</t>
        </is>
      </c>
      <c r="C203" s="10" t="inlineStr">
        <is>
          <t>XML1</t>
        </is>
      </c>
      <c r="D203" s="10" t="inlineStr">
        <is>
          <t>Mã khu vực không hợp lệ</t>
        </is>
      </c>
      <c r="E203" s="10" t="inlineStr">
        <is>
          <t>Có</t>
        </is>
      </c>
      <c r="F203" s="10" t="inlineStr">
        <is>
          <t>Có</t>
        </is>
      </c>
      <c r="G203" s="12" t="n">
        <v>0</v>
      </c>
      <c r="H203" s="14">
        <f>G203/68213</f>
        <v/>
      </c>
      <c r="I203" s="10" t="n"/>
      <c r="J203" s="10" t="inlineStr">
        <is>
          <t>Nghiệp vụ</t>
        </is>
      </c>
      <c r="K203" s="10" t="inlineStr">
        <is>
          <t>Nghiệp vụ – Quy định BHYT</t>
        </is>
      </c>
      <c r="L203" s="10" t="inlineStr">
        <is>
          <t>Phòng BHYT</t>
        </is>
      </c>
      <c r="M203" s="10" t="inlineStr">
        <is>
          <t>Tiếp đón; CNTT</t>
        </is>
      </c>
      <c r="N203" s="10" t="inlineStr">
        <is>
          <t>Tiếp đón khai đúng mã đối tượng, giấy chuyển tuyến/hẹn, mức hưởng theo thẻ; HIS chặn khi thiếu</t>
        </is>
      </c>
      <c r="O203" s="10" t="inlineStr">
        <is>
          <t>#1</t>
        </is>
      </c>
      <c r="P203" s="17" t="n">
        <v>0</v>
      </c>
    </row>
    <row r="204">
      <c r="A204" s="10" t="n">
        <v>200</v>
      </c>
      <c r="B204" s="10" t="inlineStr">
        <is>
          <t>XML1_ADMIN_INFO_ERROR_MA_NGHE_NGHIEP_LENGTH</t>
        </is>
      </c>
      <c r="C204" s="10" t="inlineStr">
        <is>
          <t>XML1</t>
        </is>
      </c>
      <c r="D204" s="10" t="inlineStr">
        <is>
          <t>Mã nghề nghiệp không hợp lệ</t>
        </is>
      </c>
      <c r="E204" s="10" t="inlineStr">
        <is>
          <t>Không</t>
        </is>
      </c>
      <c r="F204" s="10" t="inlineStr">
        <is>
          <t>Có</t>
        </is>
      </c>
      <c r="G204" s="12" t="n">
        <v>0</v>
      </c>
      <c r="H204" s="14">
        <f>G204/68213</f>
        <v/>
      </c>
      <c r="I204" s="10" t="n"/>
      <c r="J204" s="10" t="inlineStr">
        <is>
          <t>Kỹ thuật</t>
        </is>
      </c>
      <c r="K204" s="10" t="inlineStr">
        <is>
          <t>Kỹ thuật – HIS</t>
        </is>
      </c>
      <c r="L204" s="10" t="inlineStr">
        <is>
          <t>CNTT</t>
        </is>
      </c>
      <c r="M204" s="10" t="inlineStr">
        <is>
          <t>Tiếp đón</t>
        </is>
      </c>
      <c r="N204" s="10" t="inlineStr">
        <is>
          <t>Cập nhật danh mục hành chính 2 cấp và danh mục nghề nghiệp trên HIS; khoá mã cũ</t>
        </is>
      </c>
      <c r="O204" s="10" t="n"/>
      <c r="P204" s="17" t="n">
        <v>0</v>
      </c>
    </row>
    <row r="205">
      <c r="A205" s="10" t="n">
        <v>201</v>
      </c>
      <c r="B205" s="10" t="inlineStr">
        <is>
          <t>XML1_ADMIN_INFO_ERROR_MA_QUOCTICH</t>
        </is>
      </c>
      <c r="C205" s="10" t="inlineStr">
        <is>
          <t>XML1</t>
        </is>
      </c>
      <c r="D205" s="10" t="inlineStr">
        <is>
          <t>Thiếu mã quốc tịch</t>
        </is>
      </c>
      <c r="E205" s="10" t="inlineStr">
        <is>
          <t>Có</t>
        </is>
      </c>
      <c r="F205" s="10" t="inlineStr">
        <is>
          <t>Có</t>
        </is>
      </c>
      <c r="G205" s="12" t="n">
        <v>0</v>
      </c>
      <c r="H205" s="14">
        <f>G205/68213</f>
        <v/>
      </c>
      <c r="I205" s="10" t="n"/>
      <c r="J205" s="10" t="inlineStr">
        <is>
          <t>Nghiệp vụ</t>
        </is>
      </c>
      <c r="K205" s="10" t="inlineStr">
        <is>
          <t>Nghiệp vụ – Hành chính, tiếp đón</t>
        </is>
      </c>
      <c r="L205" s="10" t="inlineStr">
        <is>
          <t>Tiếp đón</t>
        </is>
      </c>
      <c r="M205" s="10" t="inlineStr">
        <is>
          <t>CNTT</t>
        </is>
      </c>
      <c r="N205" s="10" t="inlineStr">
        <is>
          <t>Tiếp đón nhập đủ thông tin hành chính; HIS bắt buộc trường bắt buộc</t>
        </is>
      </c>
      <c r="O205" s="10" t="n"/>
      <c r="P205" s="17" t="n">
        <v>0</v>
      </c>
    </row>
    <row r="206">
      <c r="A206" s="10" t="n">
        <v>202</v>
      </c>
      <c r="B206" s="10" t="inlineStr">
        <is>
          <t>XML1_DISEASE_ICD_CODE_ERROR_MA_BENH_CHINH</t>
        </is>
      </c>
      <c r="C206" s="10" t="inlineStr">
        <is>
          <t>XML1</t>
        </is>
      </c>
      <c r="D206" s="10" t="inlineStr">
        <is>
          <t>Mã bệnh chính không tồn tại</t>
        </is>
      </c>
      <c r="E206" s="10" t="inlineStr">
        <is>
          <t>Có</t>
        </is>
      </c>
      <c r="F206" s="10" t="inlineStr">
        <is>
          <t>Có</t>
        </is>
      </c>
      <c r="G206" s="12" t="n">
        <v>0</v>
      </c>
      <c r="H206" s="14">
        <f>G206/68213</f>
        <v/>
      </c>
      <c r="I206" s="10" t="n"/>
      <c r="J206" s="10" t="inlineStr">
        <is>
          <t>Nghiệp vụ</t>
        </is>
      </c>
      <c r="K206" s="10" t="inlineStr">
        <is>
          <t>Nghiệp vụ – Chuyên môn lâm sàng</t>
        </is>
      </c>
      <c r="L206" s="10" t="inlineStr">
        <is>
          <t>Khoa lâm sàng</t>
        </is>
      </c>
      <c r="M206" s="10" t="inlineStr">
        <is>
          <t>Phòng KHTH</t>
        </is>
      </c>
      <c r="N206" s="10" t="inlineStr">
        <is>
          <t>Bác sĩ nhập đủ, đúng nội dung chuyên môn trên HIS; Phòng KHTH kiểm tra</t>
        </is>
      </c>
      <c r="O206" s="10" t="inlineStr">
        <is>
          <t>#12, #13</t>
        </is>
      </c>
      <c r="P206" s="17" t="n">
        <v>0</v>
      </c>
    </row>
    <row r="207">
      <c r="A207" s="10" t="n">
        <v>203</v>
      </c>
      <c r="B207" s="10" t="inlineStr">
        <is>
          <t>XML1_DISEASE_ICD_CODE_ERROR_MA_BENH_CHINH_IN_YHCT</t>
        </is>
      </c>
      <c r="C207" s="10" t="inlineStr">
        <is>
          <t>XML1</t>
        </is>
      </c>
      <c r="D207" s="10" t="inlineStr">
        <is>
          <t>Mã bệnh chính thuộc bệnh YHCT</t>
        </is>
      </c>
      <c r="E207" s="10" t="inlineStr">
        <is>
          <t>Có</t>
        </is>
      </c>
      <c r="F207" s="10" t="inlineStr">
        <is>
          <t>Có</t>
        </is>
      </c>
      <c r="G207" s="12" t="n">
        <v>0</v>
      </c>
      <c r="H207" s="14">
        <f>G207/68213</f>
        <v/>
      </c>
      <c r="I207" s="10" t="n"/>
      <c r="J207" s="10" t="inlineStr">
        <is>
          <t>Nghiệp vụ</t>
        </is>
      </c>
      <c r="K207" s="10" t="inlineStr">
        <is>
          <t>Nghiệp vụ – Chuyên môn lâm sàng</t>
        </is>
      </c>
      <c r="L207" s="10" t="inlineStr">
        <is>
          <t>Khoa lâm sàng</t>
        </is>
      </c>
      <c r="M207" s="10" t="inlineStr">
        <is>
          <t>Phòng KHTH</t>
        </is>
      </c>
      <c r="N207" s="10" t="inlineStr">
        <is>
          <t>Bác sĩ nhập đủ, đúng nội dung chuyên môn trên HIS; Phòng KHTH kiểm tra</t>
        </is>
      </c>
      <c r="O207" s="10" t="n"/>
      <c r="P207" s="17" t="n">
        <v>0</v>
      </c>
    </row>
    <row r="208">
      <c r="A208" s="10" t="n">
        <v>204</v>
      </c>
      <c r="B208" s="10" t="inlineStr">
        <is>
          <t>XML1_DISEASE_ICD_CODE_ERROR_MA_BENH_KT_IN_YHCT</t>
        </is>
      </c>
      <c r="C208" s="10" t="inlineStr">
        <is>
          <t>XML1</t>
        </is>
      </c>
      <c r="D208" s="10" t="inlineStr">
        <is>
          <t>Mã bệnh kèm theo thuộc bệnh YHCT</t>
        </is>
      </c>
      <c r="E208" s="10" t="inlineStr">
        <is>
          <t>Có</t>
        </is>
      </c>
      <c r="F208" s="10" t="inlineStr">
        <is>
          <t>Có</t>
        </is>
      </c>
      <c r="G208" s="12" t="n">
        <v>0</v>
      </c>
      <c r="H208" s="14">
        <f>G208/68213</f>
        <v/>
      </c>
      <c r="I208" s="10" t="n"/>
      <c r="J208" s="10" t="inlineStr">
        <is>
          <t>Nghiệp vụ</t>
        </is>
      </c>
      <c r="K208" s="10" t="inlineStr">
        <is>
          <t>Nghiệp vụ – Chuyên môn lâm sàng</t>
        </is>
      </c>
      <c r="L208" s="10" t="inlineStr">
        <is>
          <t>Khoa lâm sàng</t>
        </is>
      </c>
      <c r="M208" s="10" t="inlineStr">
        <is>
          <t>Phòng KHTH</t>
        </is>
      </c>
      <c r="N208" s="10" t="inlineStr">
        <is>
          <t>Bác sĩ nhập đủ, đúng nội dung chuyên môn trên HIS; Phòng KHTH kiểm tra</t>
        </is>
      </c>
      <c r="O208" s="10" t="n"/>
      <c r="P208" s="17" t="n">
        <v>0</v>
      </c>
    </row>
    <row r="209">
      <c r="A209" s="10" t="n">
        <v>205</v>
      </c>
      <c r="B209" s="10" t="inlineStr">
        <is>
          <t>XML1_DISEASE_ICD_CODE_ERROR_MA_BENH_YHCT</t>
        </is>
      </c>
      <c r="C209" s="10" t="inlineStr">
        <is>
          <t>XML1</t>
        </is>
      </c>
      <c r="D209" s="10" t="inlineStr">
        <is>
          <t>Mã bệnh YHCT không tồn tại</t>
        </is>
      </c>
      <c r="E209" s="10" t="inlineStr">
        <is>
          <t>Có</t>
        </is>
      </c>
      <c r="F209" s="10" t="inlineStr">
        <is>
          <t>Có</t>
        </is>
      </c>
      <c r="G209" s="12" t="n">
        <v>0</v>
      </c>
      <c r="H209" s="14">
        <f>G209/68213</f>
        <v/>
      </c>
      <c r="I209" s="10" t="n"/>
      <c r="J209" s="10" t="inlineStr">
        <is>
          <t>Nghiệp vụ</t>
        </is>
      </c>
      <c r="K209" s="10" t="inlineStr">
        <is>
          <t>Nghiệp vụ – Chuyên môn lâm sàng</t>
        </is>
      </c>
      <c r="L209" s="10" t="inlineStr">
        <is>
          <t>Khoa lâm sàng</t>
        </is>
      </c>
      <c r="M209" s="10" t="inlineStr">
        <is>
          <t>Phòng KHTH</t>
        </is>
      </c>
      <c r="N209" s="10" t="inlineStr">
        <is>
          <t>Bác sĩ nhập đủ, đúng nội dung chuyên môn trên HIS; Phòng KHTH kiểm tra</t>
        </is>
      </c>
      <c r="O209" s="10" t="n"/>
      <c r="P209" s="17" t="n">
        <v>0</v>
      </c>
    </row>
    <row r="210">
      <c r="A210" s="10" t="n">
        <v>206</v>
      </c>
      <c r="B210" s="10" t="inlineStr">
        <is>
          <t>XML1_DOI_TUONG_KCB_31_NGOAI_TRU_CO_BHTT</t>
        </is>
      </c>
      <c r="C210" s="10" t="inlineStr">
        <is>
          <t>XML1</t>
        </is>
      </c>
      <c r="D210" s="10" t="inlineStr">
        <is>
          <t>Đối tượng này khám ngoại trú không được quỹ BHYT thanh toán</t>
        </is>
      </c>
      <c r="E210" s="10" t="inlineStr">
        <is>
          <t>Có</t>
        </is>
      </c>
      <c r="F210" s="10" t="inlineStr">
        <is>
          <t>Có</t>
        </is>
      </c>
      <c r="G210" s="12" t="n">
        <v>0</v>
      </c>
      <c r="H210" s="14">
        <f>G210/68213</f>
        <v/>
      </c>
      <c r="I210" s="10" t="n"/>
      <c r="J210" s="10" t="inlineStr">
        <is>
          <t>Nghiệp vụ</t>
        </is>
      </c>
      <c r="K210" s="10" t="inlineStr">
        <is>
          <t>Nghiệp vụ – Quy định BHYT</t>
        </is>
      </c>
      <c r="L210" s="10" t="inlineStr">
        <is>
          <t>Phòng BHYT</t>
        </is>
      </c>
      <c r="M210" s="10" t="inlineStr">
        <is>
          <t>Tiếp đón; CNTT</t>
        </is>
      </c>
      <c r="N210" s="10" t="inlineStr">
        <is>
          <t>Tiếp đón khai đúng mã đối tượng, giấy chuyển tuyến/hẹn, mức hưởng theo thẻ; HIS chặn khi thiếu</t>
        </is>
      </c>
      <c r="O210" s="10" t="n"/>
      <c r="P210" s="17" t="n">
        <v>0</v>
      </c>
    </row>
    <row r="211">
      <c r="A211" s="10" t="n">
        <v>207</v>
      </c>
      <c r="B211" s="10" t="inlineStr">
        <is>
          <t>XML1_DOI_TUONG_KCB_NGOAI_DANH_MUC</t>
        </is>
      </c>
      <c r="C211" s="10" t="inlineStr">
        <is>
          <t>XML1</t>
        </is>
      </c>
      <c r="D211" s="10" t="inlineStr">
        <is>
          <t>Mã đối tượng KCB ngoài danh mục</t>
        </is>
      </c>
      <c r="E211" s="10" t="inlineStr">
        <is>
          <t>Có</t>
        </is>
      </c>
      <c r="F211" s="10" t="inlineStr">
        <is>
          <t>Có</t>
        </is>
      </c>
      <c r="G211" s="12" t="n">
        <v>0</v>
      </c>
      <c r="H211" s="14">
        <f>G211/68213</f>
        <v/>
      </c>
      <c r="I211" s="10" t="n"/>
      <c r="J211" s="10" t="inlineStr">
        <is>
          <t>Nghiệp vụ</t>
        </is>
      </c>
      <c r="K211" s="10" t="inlineStr">
        <is>
          <t>Nghiệp vụ – Quy định BHYT</t>
        </is>
      </c>
      <c r="L211" s="10" t="inlineStr">
        <is>
          <t>Phòng BHYT</t>
        </is>
      </c>
      <c r="M211" s="10" t="inlineStr">
        <is>
          <t>Tiếp đón; CNTT</t>
        </is>
      </c>
      <c r="N211" s="10" t="inlineStr">
        <is>
          <t>Tiếp đón khai đúng mã đối tượng, giấy chuyển tuyến/hẹn, mức hưởng theo thẻ; HIS chặn khi thiếu</t>
        </is>
      </c>
      <c r="O211" s="10" t="inlineStr">
        <is>
          <t>#15</t>
        </is>
      </c>
      <c r="P211" s="17" t="n">
        <v>0</v>
      </c>
    </row>
    <row r="212">
      <c r="A212" s="10" t="n">
        <v>208</v>
      </c>
      <c r="B212" s="10" t="inlineStr">
        <is>
          <t>XML1_DOI_TUONG_KCB_THIEU_THE_BHYT</t>
        </is>
      </c>
      <c r="C212" s="10" t="inlineStr">
        <is>
          <t>XML1</t>
        </is>
      </c>
      <c r="D212" s="10" t="inlineStr">
        <is>
          <t>Đề nghị quỹ BHYT thanh toán nhưng không có mã thẻ</t>
        </is>
      </c>
      <c r="E212" s="10" t="inlineStr">
        <is>
          <t>Có</t>
        </is>
      </c>
      <c r="F212" s="10" t="inlineStr">
        <is>
          <t>Có</t>
        </is>
      </c>
      <c r="G212" s="12" t="n">
        <v>0</v>
      </c>
      <c r="H212" s="14">
        <f>G212/68213</f>
        <v/>
      </c>
      <c r="I212" s="10" t="n"/>
      <c r="J212" s="10" t="inlineStr">
        <is>
          <t>Nghiệp vụ</t>
        </is>
      </c>
      <c r="K212" s="10" t="inlineStr">
        <is>
          <t>Nghiệp vụ – Quy định BHYT</t>
        </is>
      </c>
      <c r="L212" s="10" t="inlineStr">
        <is>
          <t>Phòng BHYT</t>
        </is>
      </c>
      <c r="M212" s="10" t="inlineStr">
        <is>
          <t>Tiếp đón; CNTT</t>
        </is>
      </c>
      <c r="N212" s="10" t="inlineStr">
        <is>
          <t>Tiếp đón khai đúng mã đối tượng, giấy chuyển tuyến/hẹn, mức hưởng theo thẻ; HIS chặn khi thiếu</t>
        </is>
      </c>
      <c r="O212" s="10" t="n"/>
      <c r="P212" s="17" t="n">
        <v>0</v>
      </c>
    </row>
    <row r="213">
      <c r="A213" s="10" t="n">
        <v>209</v>
      </c>
      <c r="B213" s="10" t="inlineStr">
        <is>
          <t>XML1_INVALID_BED_DAYS</t>
        </is>
      </c>
      <c r="C213" s="10" t="inlineStr">
        <is>
          <t>XML1</t>
        </is>
      </c>
      <c r="D213" s="10" t="inlineStr">
        <is>
          <t>Thanh toán ngày giường sai quy định (trừ trường hợp đặc biệt)</t>
        </is>
      </c>
      <c r="E213" s="10" t="inlineStr">
        <is>
          <t>Không</t>
        </is>
      </c>
      <c r="F213" s="10" t="inlineStr">
        <is>
          <t>Có</t>
        </is>
      </c>
      <c r="G213" s="12" t="n">
        <v>0</v>
      </c>
      <c r="H213" s="14">
        <f>G213/68213</f>
        <v/>
      </c>
      <c r="I213" s="10" t="n"/>
      <c r="J213" s="10" t="inlineStr">
        <is>
          <t>Nghiệp vụ</t>
        </is>
      </c>
      <c r="K213" s="10" t="inlineStr">
        <is>
          <t>Nghiệp vụ – Quy định BHYT</t>
        </is>
      </c>
      <c r="L213" s="10" t="inlineStr">
        <is>
          <t>Phòng BHYT</t>
        </is>
      </c>
      <c r="M213" s="10" t="inlineStr">
        <is>
          <t>Khoa lâm sàng; CNTT</t>
        </is>
      </c>
      <c r="N213" s="10" t="inlineStr">
        <is>
          <t>Rà soát chỉ định ngày giường, công khám, khoa chỉ định đúng quy định BHYT</t>
        </is>
      </c>
      <c r="O213" s="10" t="n"/>
      <c r="P213" s="17" t="n">
        <v>0</v>
      </c>
    </row>
    <row r="214">
      <c r="A214" s="10" t="n">
        <v>210</v>
      </c>
      <c r="B214" s="10" t="inlineStr">
        <is>
          <t>XML1_LONG_TERM_TREATMENT</t>
        </is>
      </c>
      <c r="C214" s="10" t="inlineStr">
        <is>
          <t>XML1</t>
        </is>
      </c>
      <c r="D214" s="10" t="inlineStr">
        <is>
          <t>Khám bệnh dài ngày</t>
        </is>
      </c>
      <c r="E214" s="10" t="inlineStr">
        <is>
          <t>Không</t>
        </is>
      </c>
      <c r="F214" s="10" t="inlineStr">
        <is>
          <t>Không</t>
        </is>
      </c>
      <c r="G214" s="12" t="n">
        <v>0</v>
      </c>
      <c r="H214" s="14">
        <f>G214/68213</f>
        <v/>
      </c>
      <c r="I214" s="10" t="inlineStr">
        <is>
          <t>Điều trị kéo dài quá 1 ngày với MA_LOAI_KCB là 1</t>
        </is>
      </c>
      <c r="J214" s="10" t="inlineStr">
        <is>
          <t>Nghiệp vụ</t>
        </is>
      </c>
      <c r="K214" s="10" t="inlineStr">
        <is>
          <t>Nghiệp vụ – Quy định BHYT</t>
        </is>
      </c>
      <c r="L214" s="10" t="inlineStr">
        <is>
          <t>Phòng BHYT</t>
        </is>
      </c>
      <c r="M214" s="10" t="inlineStr">
        <is>
          <t>Khoa lâm sàng; CNTT</t>
        </is>
      </c>
      <c r="N214" s="10" t="inlineStr">
        <is>
          <t>Rà soát chỉ định ngày giường, công khám, khoa chỉ định đúng quy định BHYT</t>
        </is>
      </c>
      <c r="O214" s="10" t="n"/>
      <c r="P214" s="17" t="n">
        <v>0</v>
      </c>
    </row>
    <row r="215">
      <c r="A215" s="10" t="n">
        <v>211</v>
      </c>
      <c r="B215" s="10" t="inlineStr">
        <is>
          <t>XML1_SPECIAL_INPATIENT_ERROR_LY_DO_VNT</t>
        </is>
      </c>
      <c r="C215" s="10" t="inlineStr">
        <is>
          <t>XML1</t>
        </is>
      </c>
      <c r="D215" s="10" t="inlineStr">
        <is>
          <t>Thiếu lý do vào nội trú</t>
        </is>
      </c>
      <c r="E215" s="10" t="inlineStr">
        <is>
          <t>Có</t>
        </is>
      </c>
      <c r="F215" s="10" t="inlineStr">
        <is>
          <t>Có</t>
        </is>
      </c>
      <c r="G215" s="12" t="n">
        <v>0</v>
      </c>
      <c r="H215" s="14">
        <f>G215/68213</f>
        <v/>
      </c>
      <c r="I215" s="10" t="n"/>
      <c r="J215" s="10" t="inlineStr">
        <is>
          <t>Nghiệp vụ</t>
        </is>
      </c>
      <c r="K215" s="10" t="inlineStr">
        <is>
          <t>Nghiệp vụ – Chuyên môn lâm sàng</t>
        </is>
      </c>
      <c r="L215" s="10" t="inlineStr">
        <is>
          <t>Khoa lâm sàng</t>
        </is>
      </c>
      <c r="M215" s="10" t="inlineStr">
        <is>
          <t>Phòng KHTH</t>
        </is>
      </c>
      <c r="N215" s="10" t="inlineStr">
        <is>
          <t>Bác sĩ nhập đủ, đúng nội dung chuyên môn trên HIS; Phòng KHTH kiểm tra</t>
        </is>
      </c>
      <c r="O215" s="10" t="inlineStr">
        <is>
          <t>#7</t>
        </is>
      </c>
      <c r="P215" s="17" t="n">
        <v>0</v>
      </c>
    </row>
    <row r="216">
      <c r="A216" s="10" t="n">
        <v>212</v>
      </c>
      <c r="B216" s="10" t="inlineStr">
        <is>
          <t>XML1_SPECIAL_INPATIENT_ERROR_MA_LY_DO_VNT_LENGTH</t>
        </is>
      </c>
      <c r="C216" s="10" t="inlineStr">
        <is>
          <t>XML1</t>
        </is>
      </c>
      <c r="D216" s="10" t="inlineStr">
        <is>
          <t>Mã lý do vào nội trú không hợp lệ</t>
        </is>
      </c>
      <c r="E216" s="10" t="inlineStr">
        <is>
          <t>Có</t>
        </is>
      </c>
      <c r="F216" s="10" t="inlineStr">
        <is>
          <t>Có</t>
        </is>
      </c>
      <c r="G216" s="12" t="n">
        <v>0</v>
      </c>
      <c r="H216" s="14">
        <f>G216/68213</f>
        <v/>
      </c>
      <c r="I216" s="10" t="n"/>
      <c r="J216" s="10" t="inlineStr">
        <is>
          <t>Nghiệp vụ</t>
        </is>
      </c>
      <c r="K216" s="10" t="inlineStr">
        <is>
          <t>Nghiệp vụ – Chuyên môn lâm sàng</t>
        </is>
      </c>
      <c r="L216" s="10" t="inlineStr">
        <is>
          <t>Khoa lâm sàng</t>
        </is>
      </c>
      <c r="M216" s="10" t="inlineStr">
        <is>
          <t>Phòng KHTH</t>
        </is>
      </c>
      <c r="N216" s="10" t="inlineStr">
        <is>
          <t>Bác sĩ nhập đủ, đúng nội dung chuyên môn trên HIS; Phòng KHTH kiểm tra</t>
        </is>
      </c>
      <c r="O216" s="10" t="n"/>
      <c r="P216" s="17" t="n">
        <v>0</v>
      </c>
    </row>
    <row r="217">
      <c r="A217" s="10" t="n">
        <v>213</v>
      </c>
      <c r="B217" s="10" t="inlineStr">
        <is>
          <t>XML2_INFO_ERROR_NHOM_THAU</t>
        </is>
      </c>
      <c r="C217" s="10" t="inlineStr">
        <is>
          <t>XML2</t>
        </is>
      </c>
      <c r="D217" s="10" t="inlineStr">
        <is>
          <t>Nhóm thầu không đúng định dạng</t>
        </is>
      </c>
      <c r="E217" s="10" t="inlineStr">
        <is>
          <t>Có</t>
        </is>
      </c>
      <c r="F217" s="10" t="inlineStr">
        <is>
          <t>Có</t>
        </is>
      </c>
      <c r="G217" s="12" t="n">
        <v>0</v>
      </c>
      <c r="H217" s="14">
        <f>G217/68213</f>
        <v/>
      </c>
      <c r="I217" s="10" t="n"/>
      <c r="J217" s="10" t="inlineStr">
        <is>
          <t>Nghiệp vụ</t>
        </is>
      </c>
      <c r="K217" s="10" t="inlineStr">
        <is>
          <t>Nghiệp vụ – Danh mục</t>
        </is>
      </c>
      <c r="L217" s="10" t="inlineStr">
        <is>
          <t>Khoa Dược</t>
        </is>
      </c>
      <c r="M217" s="10" t="inlineStr">
        <is>
          <t>Phòng BHYT; CNTT</t>
        </is>
      </c>
      <c r="N217" s="10" t="inlineStr">
        <is>
          <t>Khoa Dược đối chiếu danh mục thuốc trên HIS với danh mục được duyệt (mã, tên, hàm lượng, SĐK, thầu, đường dùng, dạng bào chế, ĐVT, giá)</t>
        </is>
      </c>
      <c r="O217" s="10" t="n"/>
      <c r="P217" s="17" t="n">
        <v>0</v>
      </c>
    </row>
    <row r="218">
      <c r="A218" s="10" t="n">
        <v>214</v>
      </c>
      <c r="B218" s="10" t="inlineStr">
        <is>
          <t>XML2_INVALID_TT_THAU_FORMAT</t>
        </is>
      </c>
      <c r="C218" s="10" t="inlineStr">
        <is>
          <t>XML2</t>
        </is>
      </c>
      <c r="D218" s="10" t="inlineStr">
        <is>
          <t>Thông tin thầu không đúng định dạng</t>
        </is>
      </c>
      <c r="E218" s="10" t="inlineStr">
        <is>
          <t>Có</t>
        </is>
      </c>
      <c r="F218" s="10" t="inlineStr">
        <is>
          <t>Có</t>
        </is>
      </c>
      <c r="G218" s="12" t="n">
        <v>0</v>
      </c>
      <c r="H218" s="14">
        <f>G218/68213</f>
        <v/>
      </c>
      <c r="I218" s="10" t="n"/>
      <c r="J218" s="10" t="inlineStr">
        <is>
          <t>Nghiệp vụ</t>
        </is>
      </c>
      <c r="K218" s="10" t="inlineStr">
        <is>
          <t>Nghiệp vụ – Danh mục</t>
        </is>
      </c>
      <c r="L218" s="10" t="inlineStr">
        <is>
          <t>Khoa Dược</t>
        </is>
      </c>
      <c r="M218" s="10" t="inlineStr">
        <is>
          <t>Phòng BHYT; CNTT</t>
        </is>
      </c>
      <c r="N218" s="10" t="inlineStr">
        <is>
          <t>Khoa Dược đối chiếu danh mục thuốc trên HIS với danh mục được duyệt (mã, tên, hàm lượng, SĐK, thầu, đường dùng, dạng bào chế, ĐVT, giá)</t>
        </is>
      </c>
      <c r="O218" s="10" t="n"/>
      <c r="P218" s="17" t="n">
        <v>0</v>
      </c>
    </row>
    <row r="219">
      <c r="A219" s="10" t="n">
        <v>215</v>
      </c>
      <c r="B219" s="10" t="inlineStr">
        <is>
          <t>XML2_MA_KHOA_REQ_INVALID</t>
        </is>
      </c>
      <c r="C219" s="10" t="inlineStr">
        <is>
          <t>XML2</t>
        </is>
      </c>
      <c r="D219" s="10" t="inlineStr">
        <is>
          <t>Khoa chỉ định thuốc không hợp lệ</t>
        </is>
      </c>
      <c r="E219" s="10" t="inlineStr">
        <is>
          <t>Không</t>
        </is>
      </c>
      <c r="F219" s="10" t="inlineStr">
        <is>
          <t>Có</t>
        </is>
      </c>
      <c r="G219" s="12" t="n">
        <v>0</v>
      </c>
      <c r="H219" s="14">
        <f>G219/68213</f>
        <v/>
      </c>
      <c r="I219" s="10" t="n"/>
      <c r="J219" s="10" t="inlineStr">
        <is>
          <t>Nghiệp vụ</t>
        </is>
      </c>
      <c r="K219" s="10" t="inlineStr">
        <is>
          <t>Nghiệp vụ – Quy định BHYT</t>
        </is>
      </c>
      <c r="L219" s="10" t="inlineStr">
        <is>
          <t>Phòng BHYT</t>
        </is>
      </c>
      <c r="M219" s="10" t="inlineStr">
        <is>
          <t>Khoa lâm sàng; CNTT</t>
        </is>
      </c>
      <c r="N219" s="10" t="inlineStr">
        <is>
          <t>Rà soát chỉ định ngày giường, công khám, khoa chỉ định đúng quy định BHYT</t>
        </is>
      </c>
      <c r="O219" s="10" t="n"/>
      <c r="P219" s="17" t="n">
        <v>0</v>
      </c>
    </row>
    <row r="220">
      <c r="A220" s="10" t="n">
        <v>216</v>
      </c>
      <c r="B220" s="10" t="inlineStr">
        <is>
          <t>XML2_MISSING_DRUG_CONCENTRATION</t>
        </is>
      </c>
      <c r="C220" s="10" t="inlineStr">
        <is>
          <t>XML2</t>
        </is>
      </c>
      <c r="D220" s="10" t="inlineStr">
        <is>
          <t>Không có hàm lượng thuốc</t>
        </is>
      </c>
      <c r="E220" s="10" t="inlineStr">
        <is>
          <t>Có</t>
        </is>
      </c>
      <c r="F220" s="10" t="inlineStr">
        <is>
          <t>Có</t>
        </is>
      </c>
      <c r="G220" s="12" t="n">
        <v>0</v>
      </c>
      <c r="H220" s="14">
        <f>G220/68213</f>
        <v/>
      </c>
      <c r="I220" s="10" t="n"/>
      <c r="J220" s="10" t="inlineStr">
        <is>
          <t>Nghiệp vụ</t>
        </is>
      </c>
      <c r="K220" s="10" t="inlineStr">
        <is>
          <t>Nghiệp vụ – Danh mục</t>
        </is>
      </c>
      <c r="L220" s="10" t="inlineStr">
        <is>
          <t>Khoa Dược</t>
        </is>
      </c>
      <c r="M220" s="10" t="inlineStr">
        <is>
          <t>Phòng BHYT; CNTT</t>
        </is>
      </c>
      <c r="N220" s="10" t="inlineStr">
        <is>
          <t>Khoa Dược đối chiếu danh mục thuốc trên HIS với danh mục được duyệt (mã, tên, hàm lượng, SĐK, thầu, đường dùng, dạng bào chế, ĐVT, giá)</t>
        </is>
      </c>
      <c r="O220" s="10" t="n"/>
      <c r="P220" s="17" t="n">
        <v>0</v>
      </c>
    </row>
    <row r="221">
      <c r="A221" s="10" t="n">
        <v>217</v>
      </c>
      <c r="B221" s="10" t="inlineStr">
        <is>
          <t>XML2_NGUON_CTRA_INVALID</t>
        </is>
      </c>
      <c r="C221" s="10" t="inlineStr">
        <is>
          <t>XML2</t>
        </is>
      </c>
      <c r="D221" s="10" t="inlineStr">
        <is>
          <t>Nguồn chi trả thuốc không hợp lệ</t>
        </is>
      </c>
      <c r="E221" s="10" t="inlineStr">
        <is>
          <t>Không</t>
        </is>
      </c>
      <c r="F221" s="10" t="inlineStr">
        <is>
          <t>Có</t>
        </is>
      </c>
      <c r="G221" s="12" t="n">
        <v>0</v>
      </c>
      <c r="H221" s="14">
        <f>G221/68213</f>
        <v/>
      </c>
      <c r="I221" s="10" t="n"/>
      <c r="J221" s="10" t="inlineStr">
        <is>
          <t>Kỹ thuật</t>
        </is>
      </c>
      <c r="K221" s="10" t="inlineStr">
        <is>
          <t>Kỹ thuật – HIS</t>
        </is>
      </c>
      <c r="L221" s="10" t="inlineStr">
        <is>
          <t>CNTT</t>
        </is>
      </c>
      <c r="M221" s="10" t="inlineStr">
        <is>
          <t>Phòng TCKT; Phòng BHYT</t>
        </is>
      </c>
      <c r="N221" s="10" t="inlineStr">
        <is>
          <t>Sửa công thức tính tiền/tỷ lệ/nguồn chi trả trên HIS</t>
        </is>
      </c>
      <c r="O221" s="10" t="n"/>
      <c r="P221" s="17" t="n">
        <v>0</v>
      </c>
    </row>
    <row r="222">
      <c r="A222" s="10" t="n">
        <v>218</v>
      </c>
      <c r="B222" s="10" t="inlineStr">
        <is>
          <t>XML2_NGUON_CTRA_NGOAI_QUY_MA_BH_TRA</t>
        </is>
      </c>
      <c r="C222" s="10" t="inlineStr">
        <is>
          <t>XML2</t>
        </is>
      </c>
      <c r="D222" s="10" t="inlineStr">
        <is>
          <t>Thuốc không do quỹ BHYT chi trả nhưng vẫn đề nghị BHYT thanh toán</t>
        </is>
      </c>
      <c r="E222" s="10" t="inlineStr">
        <is>
          <t>Không</t>
        </is>
      </c>
      <c r="F222" s="10" t="inlineStr">
        <is>
          <t>Có</t>
        </is>
      </c>
      <c r="G222" s="12" t="n">
        <v>0</v>
      </c>
      <c r="H222" s="14">
        <f>G222/68213</f>
        <v/>
      </c>
      <c r="I222" s="10" t="n"/>
      <c r="J222" s="10" t="inlineStr">
        <is>
          <t>Kỹ thuật</t>
        </is>
      </c>
      <c r="K222" s="10" t="inlineStr">
        <is>
          <t>Kỹ thuật – HIS</t>
        </is>
      </c>
      <c r="L222" s="10" t="inlineStr">
        <is>
          <t>CNTT</t>
        </is>
      </c>
      <c r="M222" s="10" t="inlineStr">
        <is>
          <t>Phòng TCKT; Phòng BHYT</t>
        </is>
      </c>
      <c r="N222" s="10" t="inlineStr">
        <is>
          <t>Sửa công thức tính tiền/tỷ lệ/nguồn chi trả trên HIS</t>
        </is>
      </c>
      <c r="O222" s="10" t="n"/>
      <c r="P222" s="17" t="n">
        <v>0</v>
      </c>
    </row>
    <row r="223">
      <c r="A223" s="10" t="n">
        <v>219</v>
      </c>
      <c r="B223" s="10" t="inlineStr">
        <is>
          <t>XML2_THANH_TIEN_BH_SAI_CONG_THUC</t>
        </is>
      </c>
      <c r="C223" s="10" t="inlineStr">
        <is>
          <t>XML2</t>
        </is>
      </c>
      <c r="D223" s="10" t="inlineStr">
        <is>
          <t>Thành tiền BH không đúng công thức</t>
        </is>
      </c>
      <c r="E223" s="10" t="inlineStr">
        <is>
          <t>Không</t>
        </is>
      </c>
      <c r="F223" s="10" t="inlineStr">
        <is>
          <t>Có</t>
        </is>
      </c>
      <c r="G223" s="12" t="n">
        <v>0</v>
      </c>
      <c r="H223" s="14">
        <f>G223/68213</f>
        <v/>
      </c>
      <c r="I223" s="10" t="n"/>
      <c r="J223" s="10" t="inlineStr">
        <is>
          <t>Kỹ thuật</t>
        </is>
      </c>
      <c r="K223" s="10" t="inlineStr">
        <is>
          <t>Kỹ thuật – HIS</t>
        </is>
      </c>
      <c r="L223" s="10" t="inlineStr">
        <is>
          <t>CNTT</t>
        </is>
      </c>
      <c r="M223" s="10" t="inlineStr">
        <is>
          <t>Phòng TCKT; Phòng BHYT</t>
        </is>
      </c>
      <c r="N223" s="10" t="inlineStr">
        <is>
          <t>Sửa công thức tính tiền/tỷ lệ/nguồn chi trả trên HIS</t>
        </is>
      </c>
      <c r="O223" s="10" t="n"/>
      <c r="P223" s="17" t="n">
        <v>0</v>
      </c>
    </row>
    <row r="224">
      <c r="A224" s="10" t="n">
        <v>220</v>
      </c>
      <c r="B224" s="10" t="inlineStr">
        <is>
          <t>XML2_THANH_TIEN_BV_SAI_CONG_THUC</t>
        </is>
      </c>
      <c r="C224" s="10" t="inlineStr">
        <is>
          <t>XML2</t>
        </is>
      </c>
      <c r="D224" s="10" t="inlineStr">
        <is>
          <t>Thành tiền BV không đúng công thức</t>
        </is>
      </c>
      <c r="E224" s="10" t="inlineStr">
        <is>
          <t>Không</t>
        </is>
      </c>
      <c r="F224" s="10" t="inlineStr">
        <is>
          <t>Có</t>
        </is>
      </c>
      <c r="G224" s="12" t="n">
        <v>0</v>
      </c>
      <c r="H224" s="14">
        <f>G224/68213</f>
        <v/>
      </c>
      <c r="I224" s="10" t="n"/>
      <c r="J224" s="10" t="inlineStr">
        <is>
          <t>Kỹ thuật</t>
        </is>
      </c>
      <c r="K224" s="10" t="inlineStr">
        <is>
          <t>Kỹ thuật – HIS</t>
        </is>
      </c>
      <c r="L224" s="10" t="inlineStr">
        <is>
          <t>CNTT</t>
        </is>
      </c>
      <c r="M224" s="10" t="inlineStr">
        <is>
          <t>Phòng TCKT; Phòng BHYT</t>
        </is>
      </c>
      <c r="N224" s="10" t="inlineStr">
        <is>
          <t>Sửa công thức tính tiền/tỷ lệ/nguồn chi trả trên HIS</t>
        </is>
      </c>
      <c r="O224" s="10" t="n"/>
      <c r="P224" s="17" t="n">
        <v>0</v>
      </c>
    </row>
    <row r="225">
      <c r="A225" s="10" t="n">
        <v>221</v>
      </c>
      <c r="B225" s="10" t="inlineStr">
        <is>
          <t>XML2_T_BHTT_SAI_CONG_THUC</t>
        </is>
      </c>
      <c r="C225" s="10" t="inlineStr">
        <is>
          <t>XML2</t>
        </is>
      </c>
      <c r="D225" s="10" t="inlineStr">
        <is>
          <t>Tiền BHYT thanh toán không đúng công thức</t>
        </is>
      </c>
      <c r="E225" s="10" t="inlineStr">
        <is>
          <t>Không</t>
        </is>
      </c>
      <c r="F225" s="10" t="inlineStr">
        <is>
          <t>Có</t>
        </is>
      </c>
      <c r="G225" s="12" t="n">
        <v>0</v>
      </c>
      <c r="H225" s="14">
        <f>G225/68213</f>
        <v/>
      </c>
      <c r="I225" s="10" t="n"/>
      <c r="J225" s="10" t="inlineStr">
        <is>
          <t>Kỹ thuật</t>
        </is>
      </c>
      <c r="K225" s="10" t="inlineStr">
        <is>
          <t>Kỹ thuật – HIS</t>
        </is>
      </c>
      <c r="L225" s="10" t="inlineStr">
        <is>
          <t>CNTT</t>
        </is>
      </c>
      <c r="M225" s="10" t="inlineStr">
        <is>
          <t>Phòng TCKT; Phòng BHYT</t>
        </is>
      </c>
      <c r="N225" s="10" t="inlineStr">
        <is>
          <t>Sửa công thức tính tiền/tỷ lệ/nguồn chi trả trên HIS</t>
        </is>
      </c>
      <c r="O225" s="10" t="n"/>
      <c r="P225" s="17" t="n">
        <v>0</v>
      </c>
    </row>
    <row r="226">
      <c r="A226" s="10" t="n">
        <v>222</v>
      </c>
      <c r="B226" s="10" t="inlineStr">
        <is>
          <t>XML2_T_NGUONKHAC_SAI_TONG</t>
        </is>
      </c>
      <c r="C226" s="10" t="inlineStr">
        <is>
          <t>XML2</t>
        </is>
      </c>
      <c r="D226" s="10" t="inlineStr">
        <is>
          <t>Tiền nguồn khác không bằng tổng bốn nguồn thành phần</t>
        </is>
      </c>
      <c r="E226" s="10" t="inlineStr">
        <is>
          <t>Không</t>
        </is>
      </c>
      <c r="F226" s="10" t="inlineStr">
        <is>
          <t>Có</t>
        </is>
      </c>
      <c r="G226" s="12" t="n">
        <v>0</v>
      </c>
      <c r="H226" s="14">
        <f>G226/68213</f>
        <v/>
      </c>
      <c r="I226" s="10" t="n"/>
      <c r="J226" s="10" t="inlineStr">
        <is>
          <t>Kỹ thuật</t>
        </is>
      </c>
      <c r="K226" s="10" t="inlineStr">
        <is>
          <t>Kỹ thuật – HIS</t>
        </is>
      </c>
      <c r="L226" s="10" t="inlineStr">
        <is>
          <t>CNTT</t>
        </is>
      </c>
      <c r="M226" s="10" t="inlineStr">
        <is>
          <t>Phòng TCKT; Phòng BHYT</t>
        </is>
      </c>
      <c r="N226" s="10" t="inlineStr">
        <is>
          <t>Sửa công thức tính tiền/tỷ lệ/nguồn chi trả trên HIS</t>
        </is>
      </c>
      <c r="O226" s="10" t="n"/>
      <c r="P226" s="17" t="n">
        <v>0</v>
      </c>
    </row>
    <row r="227">
      <c r="A227" s="10" t="n">
        <v>223</v>
      </c>
      <c r="B227" s="10" t="inlineStr">
        <is>
          <t>XML3_EXCLUDED_MATERIAL_GROUP_CODE</t>
        </is>
      </c>
      <c r="C227" s="10" t="inlineStr">
        <is>
          <t>XML3</t>
        </is>
      </c>
      <c r="D227" s="10" t="inlineStr">
        <is>
          <t>Vật tư nằm ngoài danh mục hoặc vật tư thay thế</t>
        </is>
      </c>
      <c r="E227" s="10" t="inlineStr">
        <is>
          <t>Có</t>
        </is>
      </c>
      <c r="F227" s="10" t="inlineStr">
        <is>
          <t>Có</t>
        </is>
      </c>
      <c r="G227" s="12" t="n">
        <v>0</v>
      </c>
      <c r="H227" s="14">
        <f>G227/68213</f>
        <v/>
      </c>
      <c r="I227" s="10" t="n"/>
      <c r="J227" s="10" t="inlineStr">
        <is>
          <t>Nghiệp vụ</t>
        </is>
      </c>
      <c r="K227" s="10" t="inlineStr">
        <is>
          <t>Nghiệp vụ – Danh mục</t>
        </is>
      </c>
      <c r="L227" s="10" t="inlineStr">
        <is>
          <t>Phòng VT-TBYT</t>
        </is>
      </c>
      <c r="M227" s="10" t="inlineStr">
        <is>
          <t>Phòng BHYT; CNTT</t>
        </is>
      </c>
      <c r="N227" s="10" t="inlineStr">
        <is>
          <t>Đối chiếu danh mục VTYT trên HIS với danh mục được duyệt theo thầu</t>
        </is>
      </c>
      <c r="O227" s="10" t="n"/>
      <c r="P227" s="17" t="n">
        <v>0</v>
      </c>
    </row>
    <row r="228">
      <c r="A228" s="10" t="n">
        <v>224</v>
      </c>
      <c r="B228" s="10" t="inlineStr">
        <is>
          <t>XML3_INFO_ERROR_INVALID_MA_MAY_FORMAT</t>
        </is>
      </c>
      <c r="C228" s="10" t="inlineStr">
        <is>
          <t>XML3</t>
        </is>
      </c>
      <c r="D228" s="10" t="inlineStr">
        <is>
          <t>Mã máy không đúng định dạng</t>
        </is>
      </c>
      <c r="E228" s="10" t="inlineStr">
        <is>
          <t>Có</t>
        </is>
      </c>
      <c r="F228" s="10" t="inlineStr">
        <is>
          <t>Có</t>
        </is>
      </c>
      <c r="G228" s="12" t="n">
        <v>0</v>
      </c>
      <c r="H228" s="14">
        <f>G228/68213</f>
        <v/>
      </c>
      <c r="I228" s="10" t="n"/>
      <c r="J228" s="10" t="inlineStr">
        <is>
          <t>Nghiệp vụ</t>
        </is>
      </c>
      <c r="K228" s="10" t="inlineStr">
        <is>
          <t>Nghiệp vụ – Danh mục</t>
        </is>
      </c>
      <c r="L228" s="10" t="inlineStr">
        <is>
          <t>Phòng VT-TBYT</t>
        </is>
      </c>
      <c r="M228" s="10" t="inlineStr">
        <is>
          <t>Phòng BHYT; CNTT</t>
        </is>
      </c>
      <c r="N228" s="10" t="inlineStr">
        <is>
          <t>Cập nhật danh mục trang thiết bị (mã máy) lên cổng và vào phần mềm</t>
        </is>
      </c>
      <c r="O228" s="10" t="n"/>
      <c r="P228" s="17" t="n">
        <v>0</v>
      </c>
    </row>
    <row r="229">
      <c r="A229" s="10" t="n">
        <v>225</v>
      </c>
      <c r="B229" s="10" t="inlineStr">
        <is>
          <t>XML3_INFO_ERROR_MA_BENH_TOO_LONG</t>
        </is>
      </c>
      <c r="C229" s="10" t="inlineStr">
        <is>
          <t>XML3</t>
        </is>
      </c>
      <c r="D229" s="10" t="inlineStr">
        <is>
          <t>Mã bệnh quá dài</t>
        </is>
      </c>
      <c r="E229" s="10" t="inlineStr">
        <is>
          <t>Có</t>
        </is>
      </c>
      <c r="F229" s="10" t="inlineStr">
        <is>
          <t>Có</t>
        </is>
      </c>
      <c r="G229" s="12" t="n">
        <v>0</v>
      </c>
      <c r="H229" s="14">
        <f>G229/68213</f>
        <v/>
      </c>
      <c r="I229" s="10" t="n"/>
      <c r="J229" s="10" t="inlineStr">
        <is>
          <t>Kỹ thuật</t>
        </is>
      </c>
      <c r="K229" s="10" t="inlineStr">
        <is>
          <t>Kỹ thuật – HIS</t>
        </is>
      </c>
      <c r="L229" s="10" t="inlineStr">
        <is>
          <t>CNTT</t>
        </is>
      </c>
      <c r="M229" s="10" t="inlineStr">
        <is>
          <t>Phòng KHTH; Khoa Dược</t>
        </is>
      </c>
      <c r="N229" s="10" t="inlineStr">
        <is>
          <t>Sửa ánh xạ/định dạng dữ liệu khi HIS xuất XML; bắt buộc nhập trường còn thiếu</t>
        </is>
      </c>
      <c r="O229" s="10" t="inlineStr">
        <is>
          <t>#36</t>
        </is>
      </c>
      <c r="P229" s="17" t="n">
        <v>0</v>
      </c>
    </row>
    <row r="230">
      <c r="A230" s="10" t="n">
        <v>226</v>
      </c>
      <c r="B230" s="10" t="inlineStr">
        <is>
          <t>XML3_INFO_ERROR_MA_BENH_YHCT_INVALID</t>
        </is>
      </c>
      <c r="C230" s="10" t="inlineStr">
        <is>
          <t>XML3</t>
        </is>
      </c>
      <c r="D230" s="10" t="inlineStr">
        <is>
          <t>Mã bệnh không thuộc DM ICD YHCT</t>
        </is>
      </c>
      <c r="E230" s="10" t="inlineStr">
        <is>
          <t>Có</t>
        </is>
      </c>
      <c r="F230" s="10" t="inlineStr">
        <is>
          <t>Có</t>
        </is>
      </c>
      <c r="G230" s="12" t="n">
        <v>0</v>
      </c>
      <c r="H230" s="14">
        <f>G230/68213</f>
        <v/>
      </c>
      <c r="I230" s="10" t="n"/>
      <c r="J230" s="10" t="inlineStr">
        <is>
          <t>Nghiệp vụ</t>
        </is>
      </c>
      <c r="K230" s="10" t="inlineStr">
        <is>
          <t>Nghiệp vụ – Chuyên môn lâm sàng</t>
        </is>
      </c>
      <c r="L230" s="10" t="inlineStr">
        <is>
          <t>Khoa lâm sàng</t>
        </is>
      </c>
      <c r="M230" s="10" t="inlineStr">
        <is>
          <t>Phòng KHTH</t>
        </is>
      </c>
      <c r="N230" s="10" t="inlineStr">
        <is>
          <t>Bác sĩ nhập đủ, đúng nội dung chuyên môn trên HIS; Phòng KHTH kiểm tra</t>
        </is>
      </c>
      <c r="O230" s="10" t="n"/>
      <c r="P230" s="17" t="n">
        <v>0</v>
      </c>
    </row>
    <row r="231">
      <c r="A231" s="10" t="n">
        <v>227</v>
      </c>
      <c r="B231" s="10" t="inlineStr">
        <is>
          <t>XML3_INFO_ERROR_NAM_THAU</t>
        </is>
      </c>
      <c r="C231" s="10" t="inlineStr">
        <is>
          <t>XML3</t>
        </is>
      </c>
      <c r="D231" s="10" t="inlineStr">
        <is>
          <t>Năm thầu không đúng định dạng</t>
        </is>
      </c>
      <c r="E231" s="10" t="inlineStr">
        <is>
          <t>Có</t>
        </is>
      </c>
      <c r="F231" s="10" t="inlineStr">
        <is>
          <t>Có</t>
        </is>
      </c>
      <c r="G231" s="12" t="n">
        <v>0</v>
      </c>
      <c r="H231" s="14">
        <f>G231/68213</f>
        <v/>
      </c>
      <c r="I231" s="10" t="n"/>
      <c r="J231" s="10" t="inlineStr">
        <is>
          <t>Nghiệp vụ</t>
        </is>
      </c>
      <c r="K231" s="10" t="inlineStr">
        <is>
          <t>Nghiệp vụ – Danh mục</t>
        </is>
      </c>
      <c r="L231" s="10" t="inlineStr">
        <is>
          <t>Phòng VT-TBYT</t>
        </is>
      </c>
      <c r="M231" s="10" t="inlineStr">
        <is>
          <t>Phòng BHYT; CNTT</t>
        </is>
      </c>
      <c r="N231" s="10" t="inlineStr">
        <is>
          <t>Đối chiếu danh mục VTYT trên HIS với danh mục được duyệt theo thầu</t>
        </is>
      </c>
      <c r="O231" s="10" t="n"/>
      <c r="P231" s="17" t="n">
        <v>0</v>
      </c>
    </row>
    <row r="232">
      <c r="A232" s="10" t="n">
        <v>228</v>
      </c>
      <c r="B232" s="10" t="inlineStr">
        <is>
          <t>XML3_INFO_ERROR_NHOM_THAU</t>
        </is>
      </c>
      <c r="C232" s="10" t="inlineStr">
        <is>
          <t>XML3</t>
        </is>
      </c>
      <c r="D232" s="10" t="inlineStr">
        <is>
          <t>Nhóm thầu không đúng định dạng</t>
        </is>
      </c>
      <c r="E232" s="10" t="inlineStr">
        <is>
          <t>Có</t>
        </is>
      </c>
      <c r="F232" s="10" t="inlineStr">
        <is>
          <t>Có</t>
        </is>
      </c>
      <c r="G232" s="12" t="n">
        <v>0</v>
      </c>
      <c r="H232" s="14">
        <f>G232/68213</f>
        <v/>
      </c>
      <c r="I232" s="10" t="n"/>
      <c r="J232" s="10" t="inlineStr">
        <is>
          <t>Nghiệp vụ</t>
        </is>
      </c>
      <c r="K232" s="10" t="inlineStr">
        <is>
          <t>Nghiệp vụ – Danh mục</t>
        </is>
      </c>
      <c r="L232" s="10" t="inlineStr">
        <is>
          <t>Phòng VT-TBYT</t>
        </is>
      </c>
      <c r="M232" s="10" t="inlineStr">
        <is>
          <t>Phòng BHYT; CNTT</t>
        </is>
      </c>
      <c r="N232" s="10" t="inlineStr">
        <is>
          <t>Đối chiếu danh mục VTYT trên HIS với danh mục được duyệt theo thầu</t>
        </is>
      </c>
      <c r="O232" s="10" t="n"/>
      <c r="P232" s="17" t="n">
        <v>0</v>
      </c>
    </row>
    <row r="233">
      <c r="A233" s="10" t="n">
        <v>229</v>
      </c>
      <c r="B233" s="10" t="inlineStr">
        <is>
          <t>XML3_INVALID_BED_CODE_FORMAT</t>
        </is>
      </c>
      <c r="C233" s="10" t="inlineStr">
        <is>
          <t>XML3</t>
        </is>
      </c>
      <c r="D233" s="10" t="inlineStr">
        <is>
          <t>Mã giường không đúng định dạng</t>
        </is>
      </c>
      <c r="E233" s="10" t="inlineStr">
        <is>
          <t>Có</t>
        </is>
      </c>
      <c r="F233" s="10" t="inlineStr">
        <is>
          <t>Có</t>
        </is>
      </c>
      <c r="G233" s="12" t="n">
        <v>0</v>
      </c>
      <c r="H233" s="14">
        <f>G233/68213</f>
        <v/>
      </c>
      <c r="I233" s="10" t="n"/>
      <c r="J233" s="10" t="inlineStr">
        <is>
          <t>Nghiệp vụ</t>
        </is>
      </c>
      <c r="K233" s="10" t="inlineStr">
        <is>
          <t>Nghiệp vụ – Quy định BHYT</t>
        </is>
      </c>
      <c r="L233" s="10" t="inlineStr">
        <is>
          <t>Phòng BHYT</t>
        </is>
      </c>
      <c r="M233" s="10" t="inlineStr">
        <is>
          <t>Khoa lâm sàng; CNTT</t>
        </is>
      </c>
      <c r="N233" s="10" t="inlineStr">
        <is>
          <t>Rà soát chỉ định ngày giường, công khám, khoa chỉ định đúng quy định BHYT</t>
        </is>
      </c>
      <c r="O233" s="10" t="inlineStr">
        <is>
          <t>#25</t>
        </is>
      </c>
      <c r="P233" s="17" t="n">
        <v>0</v>
      </c>
    </row>
    <row r="234">
      <c r="A234" s="10" t="n">
        <v>230</v>
      </c>
      <c r="B234" s="10" t="inlineStr">
        <is>
          <t>XML3_INVALID_NGAY_KQ_LESSTHEN_NGAY_YL</t>
        </is>
      </c>
      <c r="C234" s="10" t="inlineStr">
        <is>
          <t>XML3</t>
        </is>
      </c>
      <c r="D234" s="10" t="inlineStr">
        <is>
          <t>Ngày kết quả nhỏ hơn ngày y lệnh</t>
        </is>
      </c>
      <c r="E234" s="10" t="inlineStr">
        <is>
          <t>Có</t>
        </is>
      </c>
      <c r="F234" s="10" t="inlineStr">
        <is>
          <t>Có</t>
        </is>
      </c>
      <c r="G234" s="12" t="n">
        <v>0</v>
      </c>
      <c r="H234" s="14">
        <f>G234/68213</f>
        <v/>
      </c>
      <c r="I234" s="10" t="n"/>
      <c r="J234" s="10" t="inlineStr">
        <is>
          <t>Kỹ thuật</t>
        </is>
      </c>
      <c r="K234" s="10" t="inlineStr">
        <is>
          <t>Kỹ thuật – Tích hợp HIS–PACS/LIS</t>
        </is>
      </c>
      <c r="L234" s="10" t="inlineStr">
        <is>
          <t>CNTT</t>
        </is>
      </c>
      <c r="M234" s="10" t="inlineStr">
        <is>
          <t>Khoa CĐHA; Khoa Xét nghiệm</t>
        </is>
      </c>
      <c r="N234" s="10" t="inlineStr">
        <is>
          <t>Thống nhất một nguồn thời gian trả kết quả giữa PACS/LIS và HIS; rà ca trả kết quả sau ra viện</t>
        </is>
      </c>
      <c r="O234" s="10" t="inlineStr">
        <is>
          <t>#32</t>
        </is>
      </c>
      <c r="P234" s="17" t="n">
        <v>0</v>
      </c>
    </row>
    <row r="235">
      <c r="A235" s="10" t="n">
        <v>231</v>
      </c>
      <c r="B235" s="10" t="inlineStr">
        <is>
          <t>XML3_MA_DICH_VU_CHUA_CO_GIA_CO_DON_GIA_BH</t>
        </is>
      </c>
      <c r="C235" s="10" t="inlineStr">
        <is>
          <t>XML3</t>
        </is>
      </c>
      <c r="D235" s="10" t="inlineStr">
        <is>
          <t>DVKT chưa có mức giá nhưng vẫn có đơn giá BH</t>
        </is>
      </c>
      <c r="E235" s="10" t="inlineStr">
        <is>
          <t>Không</t>
        </is>
      </c>
      <c r="F235" s="10" t="inlineStr">
        <is>
          <t>Có</t>
        </is>
      </c>
      <c r="G235" s="12" t="n">
        <v>0</v>
      </c>
      <c r="H235" s="14">
        <f>G235/68213</f>
        <v/>
      </c>
      <c r="I235" s="10" t="n"/>
      <c r="J235" s="10" t="inlineStr">
        <is>
          <t>Nghiệp vụ</t>
        </is>
      </c>
      <c r="K235" s="10" t="inlineStr">
        <is>
          <t>Nghiệp vụ – Danh mục</t>
        </is>
      </c>
      <c r="L235" s="10" t="inlineStr">
        <is>
          <t>Phòng TCKT</t>
        </is>
      </c>
      <c r="M235" s="10" t="inlineStr">
        <is>
          <t>Phòng KHTH; CNTT</t>
        </is>
      </c>
      <c r="N235" s="10" t="inlineStr">
        <is>
          <t>Đối chiếu bảng giá DVKT trên HIS với giá phê duyệt</t>
        </is>
      </c>
      <c r="O235" s="10" t="n"/>
      <c r="P235" s="17" t="n">
        <v>0</v>
      </c>
    </row>
    <row r="236">
      <c r="A236" s="10" t="n">
        <v>232</v>
      </c>
      <c r="B236" s="10" t="inlineStr">
        <is>
          <t>XML3_MA_DICH_VU_CHUYEN_MAU_CSKCB_NOT_FOUND</t>
        </is>
      </c>
      <c r="C236" s="10" t="inlineStr">
        <is>
          <t>XML3</t>
        </is>
      </c>
      <c r="D236" s="10" t="inlineStr">
        <is>
          <t>Mã cơ sở nơi thực hiện cận lâm sàng không có trong danh mục</t>
        </is>
      </c>
      <c r="E236" s="10" t="inlineStr">
        <is>
          <t>Không</t>
        </is>
      </c>
      <c r="F236" s="10" t="inlineStr">
        <is>
          <t>Có</t>
        </is>
      </c>
      <c r="G236" s="12" t="n">
        <v>0</v>
      </c>
      <c r="H236" s="14">
        <f>G236/68213</f>
        <v/>
      </c>
      <c r="I236" s="10" t="n"/>
      <c r="J236" s="10" t="inlineStr">
        <is>
          <t>Kỹ thuật</t>
        </is>
      </c>
      <c r="K236" s="10" t="inlineStr">
        <is>
          <t>Kỹ thuật – HIS</t>
        </is>
      </c>
      <c r="L236" s="10" t="inlineStr">
        <is>
          <t>CNTT</t>
        </is>
      </c>
      <c r="M236" s="10" t="inlineStr">
        <is>
          <t>Phòng KHTH; Khoa Dược</t>
        </is>
      </c>
      <c r="N236" s="10" t="inlineStr">
        <is>
          <t>Sửa ánh xạ/định dạng dữ liệu khi HIS xuất XML; bắt buộc nhập trường còn thiếu</t>
        </is>
      </c>
      <c r="O236" s="10" t="n"/>
      <c r="P236" s="17" t="n">
        <v>0</v>
      </c>
    </row>
    <row r="237">
      <c r="A237" s="10" t="n">
        <v>233</v>
      </c>
      <c r="B237" s="10" t="inlineStr">
        <is>
          <t>XML3_MA_DICH_VU_HAU_TO_LA</t>
        </is>
      </c>
      <c r="C237" s="10" t="inlineStr">
        <is>
          <t>XML3</t>
        </is>
      </c>
      <c r="D237" s="10" t="inlineStr">
        <is>
          <t>Hậu tố mã dịch vụ không hợp lệ</t>
        </is>
      </c>
      <c r="E237" s="10" t="inlineStr">
        <is>
          <t>Không</t>
        </is>
      </c>
      <c r="F237" s="10" t="inlineStr">
        <is>
          <t>Có</t>
        </is>
      </c>
      <c r="G237" s="12" t="n">
        <v>0</v>
      </c>
      <c r="H237" s="14">
        <f>G237/68213</f>
        <v/>
      </c>
      <c r="I237" s="10" t="inlineStr">
        <is>
          <t>Mã 10.9002.0504_BS có hậu tố _BS. Chuẩn chỉ quy định hai hậu tố: _TB và _GT</t>
        </is>
      </c>
      <c r="J237" s="10" t="inlineStr">
        <is>
          <t>Kỹ thuật</t>
        </is>
      </c>
      <c r="K237" s="10" t="inlineStr">
        <is>
          <t>Kỹ thuật – HIS</t>
        </is>
      </c>
      <c r="L237" s="10" t="inlineStr">
        <is>
          <t>CNTT</t>
        </is>
      </c>
      <c r="M237" s="10" t="inlineStr">
        <is>
          <t>Phòng KHTH; Khoa Dược</t>
        </is>
      </c>
      <c r="N237" s="10" t="inlineStr">
        <is>
          <t>Sửa ánh xạ/định dạng dữ liệu khi HIS xuất XML; bắt buộc nhập trường còn thiếu</t>
        </is>
      </c>
      <c r="O237" s="10" t="n"/>
      <c r="P237" s="17" t="n">
        <v>0</v>
      </c>
    </row>
    <row r="238">
      <c r="A238" s="10" t="n">
        <v>234</v>
      </c>
      <c r="B238" s="10" t="inlineStr">
        <is>
          <t>XML3_MA_DICH_VU_VAN_CHUYEN_CSKCB_NOT_FOUND</t>
        </is>
      </c>
      <c r="C238" s="10" t="inlineStr">
        <is>
          <t>XML3</t>
        </is>
      </c>
      <c r="D238" s="10" t="inlineStr">
        <is>
          <t>Mã cơ sở nơi chuyển đến không có trong danh mục</t>
        </is>
      </c>
      <c r="E238" s="10" t="inlineStr">
        <is>
          <t>Không</t>
        </is>
      </c>
      <c r="F238" s="10" t="inlineStr">
        <is>
          <t>Có</t>
        </is>
      </c>
      <c r="G238" s="12" t="n">
        <v>0</v>
      </c>
      <c r="H238" s="14">
        <f>G238/68213</f>
        <v/>
      </c>
      <c r="I238" s="10" t="n"/>
      <c r="J238" s="10" t="inlineStr">
        <is>
          <t>Kỹ thuật</t>
        </is>
      </c>
      <c r="K238" s="10" t="inlineStr">
        <is>
          <t>Kỹ thuật – HIS</t>
        </is>
      </c>
      <c r="L238" s="10" t="inlineStr">
        <is>
          <t>CNTT</t>
        </is>
      </c>
      <c r="M238" s="10" t="inlineStr">
        <is>
          <t>Phòng KHTH; Khoa Dược</t>
        </is>
      </c>
      <c r="N238" s="10" t="inlineStr">
        <is>
          <t>Sửa ánh xạ/định dạng dữ liệu khi HIS xuất XML; bắt buộc nhập trường còn thiếu</t>
        </is>
      </c>
      <c r="O238" s="10" t="n"/>
      <c r="P238" s="17" t="n">
        <v>0</v>
      </c>
    </row>
    <row r="239">
      <c r="A239" s="10" t="n">
        <v>235</v>
      </c>
      <c r="B239" s="10" t="inlineStr">
        <is>
          <t>XML3_MA_DICH_VU_VAN_CHUYEN_THIEU_XANG_DAU</t>
        </is>
      </c>
      <c r="C239" s="10" t="inlineStr">
        <is>
          <t>XML3</t>
        </is>
      </c>
      <c r="D239" s="10" t="inlineStr">
        <is>
          <t>Vận chuyển người bệnh nhưng thiếu mã xăng dầu</t>
        </is>
      </c>
      <c r="E239" s="10" t="inlineStr">
        <is>
          <t>Không</t>
        </is>
      </c>
      <c r="F239" s="10" t="inlineStr">
        <is>
          <t>Có</t>
        </is>
      </c>
      <c r="G239" s="12" t="n">
        <v>0</v>
      </c>
      <c r="H239" s="14">
        <f>G239/68213</f>
        <v/>
      </c>
      <c r="I239" s="10" t="n"/>
      <c r="J239" s="10" t="inlineStr">
        <is>
          <t>Kỹ thuật</t>
        </is>
      </c>
      <c r="K239" s="10" t="inlineStr">
        <is>
          <t>Kỹ thuật – HIS</t>
        </is>
      </c>
      <c r="L239" s="10" t="inlineStr">
        <is>
          <t>CNTT</t>
        </is>
      </c>
      <c r="M239" s="10" t="inlineStr">
        <is>
          <t>Phòng KHTH; Khoa Dược</t>
        </is>
      </c>
      <c r="N239" s="10" t="inlineStr">
        <is>
          <t>Sửa ánh xạ/định dạng dữ liệu khi HIS xuất XML; bắt buộc nhập trường còn thiếu</t>
        </is>
      </c>
      <c r="O239" s="10" t="n"/>
      <c r="P239" s="17" t="n">
        <v>0</v>
      </c>
    </row>
    <row r="240">
      <c r="A240" s="10" t="n">
        <v>236</v>
      </c>
      <c r="B240" s="10" t="inlineStr">
        <is>
          <t>XML3_PHAM_VI_NGOAI_TAP_GIA_TRI</t>
        </is>
      </c>
      <c r="C240" s="10" t="inlineStr">
        <is>
          <t>XML3</t>
        </is>
      </c>
      <c r="D240" s="10" t="inlineStr">
        <is>
          <t>Phạm vi ngoài tập giá trị hợp lệ</t>
        </is>
      </c>
      <c r="E240" s="10" t="inlineStr">
        <is>
          <t>Không</t>
        </is>
      </c>
      <c r="F240" s="10" t="inlineStr">
        <is>
          <t>Có</t>
        </is>
      </c>
      <c r="G240" s="12" t="n">
        <v>0</v>
      </c>
      <c r="H240" s="14">
        <f>G240/68213</f>
        <v/>
      </c>
      <c r="I240" s="10" t="n"/>
      <c r="J240" s="10" t="inlineStr">
        <is>
          <t>Kỹ thuật</t>
        </is>
      </c>
      <c r="K240" s="10" t="inlineStr">
        <is>
          <t>Kỹ thuật – HIS</t>
        </is>
      </c>
      <c r="L240" s="10" t="inlineStr">
        <is>
          <t>CNTT</t>
        </is>
      </c>
      <c r="M240" s="10" t="inlineStr">
        <is>
          <t>Phòng TCKT; Phòng BHYT</t>
        </is>
      </c>
      <c r="N240" s="10" t="inlineStr">
        <is>
          <t>Sửa công thức tính tiền/tỷ lệ/nguồn chi trả trên HIS</t>
        </is>
      </c>
      <c r="O240" s="10" t="n"/>
      <c r="P240" s="17" t="n">
        <v>0</v>
      </c>
    </row>
    <row r="241">
      <c r="A241" s="10" t="n">
        <v>237</v>
      </c>
      <c r="B241" s="10" t="inlineStr">
        <is>
          <t>XML3_PHAM_VI_TU_TRA_MA_BH_TRA</t>
        </is>
      </c>
      <c r="C241" s="10" t="inlineStr">
        <is>
          <t>XML3</t>
        </is>
      </c>
      <c r="D241" s="10" t="inlineStr">
        <is>
          <t>Người bệnh tự trả nhưng quỹ BHYT vẫn thanh toán</t>
        </is>
      </c>
      <c r="E241" s="10" t="inlineStr">
        <is>
          <t>Không</t>
        </is>
      </c>
      <c r="F241" s="10" t="inlineStr">
        <is>
          <t>Có</t>
        </is>
      </c>
      <c r="G241" s="12" t="n">
        <v>0</v>
      </c>
      <c r="H241" s="14">
        <f>G241/68213</f>
        <v/>
      </c>
      <c r="I241" s="10" t="n"/>
      <c r="J241" s="10" t="inlineStr">
        <is>
          <t>Kỹ thuật</t>
        </is>
      </c>
      <c r="K241" s="10" t="inlineStr">
        <is>
          <t>Kỹ thuật – HIS</t>
        </is>
      </c>
      <c r="L241" s="10" t="inlineStr">
        <is>
          <t>CNTT</t>
        </is>
      </c>
      <c r="M241" s="10" t="inlineStr">
        <is>
          <t>Phòng TCKT; Phòng BHYT</t>
        </is>
      </c>
      <c r="N241" s="10" t="inlineStr">
        <is>
          <t>Sửa công thức tính tiền/tỷ lệ/nguồn chi trả trên HIS</t>
        </is>
      </c>
      <c r="O241" s="10" t="n"/>
      <c r="P241" s="17" t="n">
        <v>0</v>
      </c>
    </row>
    <row r="242">
      <c r="A242" s="10" t="n">
        <v>238</v>
      </c>
      <c r="B242" s="10" t="inlineStr">
        <is>
          <t>XML3_TAI_SU_DUNG_DON_GIA_LECH</t>
        </is>
      </c>
      <c r="C242" s="10" t="inlineStr">
        <is>
          <t>XML3</t>
        </is>
      </c>
      <c r="D242" s="10" t="inlineStr">
        <is>
          <t>VTYT tái sử dụng nhưng hai đơn giá lệch nhau</t>
        </is>
      </c>
      <c r="E242" s="10" t="inlineStr">
        <is>
          <t>Không</t>
        </is>
      </c>
      <c r="F242" s="10" t="inlineStr">
        <is>
          <t>Có</t>
        </is>
      </c>
      <c r="G242" s="12" t="n">
        <v>0</v>
      </c>
      <c r="H242" s="14">
        <f>G242/68213</f>
        <v/>
      </c>
      <c r="I242" s="10" t="n"/>
      <c r="J242" s="10" t="inlineStr">
        <is>
          <t>Kỹ thuật</t>
        </is>
      </c>
      <c r="K242" s="10" t="inlineStr">
        <is>
          <t>Kỹ thuật – HIS</t>
        </is>
      </c>
      <c r="L242" s="10" t="inlineStr">
        <is>
          <t>CNTT</t>
        </is>
      </c>
      <c r="M242" s="10" t="inlineStr">
        <is>
          <t>Phòng TCKT; Phòng BHYT</t>
        </is>
      </c>
      <c r="N242" s="10" t="inlineStr">
        <is>
          <t>Sửa công thức tính tiền/tỷ lệ/nguồn chi trả trên HIS</t>
        </is>
      </c>
      <c r="O242" s="10" t="inlineStr">
        <is>
          <t>#28</t>
        </is>
      </c>
      <c r="P242" s="17" t="n">
        <v>0</v>
      </c>
    </row>
    <row r="243">
      <c r="A243" s="10" t="n">
        <v>239</v>
      </c>
      <c r="B243" s="10" t="inlineStr">
        <is>
          <t>XML3_TAI_SU_DUNG_INVALID</t>
        </is>
      </c>
      <c r="C243" s="10" t="inlineStr">
        <is>
          <t>XML3</t>
        </is>
      </c>
      <c r="D243" s="10" t="inlineStr">
        <is>
          <t>Mã tái sử dụng không hợp lệ</t>
        </is>
      </c>
      <c r="E243" s="10" t="inlineStr">
        <is>
          <t>Không</t>
        </is>
      </c>
      <c r="F243" s="10" t="inlineStr">
        <is>
          <t>Có</t>
        </is>
      </c>
      <c r="G243" s="12" t="n">
        <v>0</v>
      </c>
      <c r="H243" s="14">
        <f>G243/68213</f>
        <v/>
      </c>
      <c r="I243" s="10" t="n"/>
      <c r="J243" s="10" t="inlineStr">
        <is>
          <t>Kỹ thuật</t>
        </is>
      </c>
      <c r="K243" s="10" t="inlineStr">
        <is>
          <t>Kỹ thuật – HIS</t>
        </is>
      </c>
      <c r="L243" s="10" t="inlineStr">
        <is>
          <t>CNTT</t>
        </is>
      </c>
      <c r="M243" s="10" t="inlineStr">
        <is>
          <t>Phòng TCKT; Phòng BHYT</t>
        </is>
      </c>
      <c r="N243" s="10" t="inlineStr">
        <is>
          <t>Sửa công thức tính tiền/tỷ lệ/nguồn chi trả trên HIS</t>
        </is>
      </c>
      <c r="O243" s="10" t="n"/>
      <c r="P243" s="17" t="n">
        <v>0</v>
      </c>
    </row>
    <row r="244">
      <c r="A244" s="10" t="n">
        <v>240</v>
      </c>
      <c r="B244" s="10" t="inlineStr">
        <is>
          <t>XML3_THANH_TIEN_BH_SAI_CONG_THUC</t>
        </is>
      </c>
      <c r="C244" s="10" t="inlineStr">
        <is>
          <t>XML3</t>
        </is>
      </c>
      <c r="D244" s="10" t="inlineStr">
        <is>
          <t>Thành tiền BH không đúng công thức</t>
        </is>
      </c>
      <c r="E244" s="10" t="inlineStr">
        <is>
          <t>Không</t>
        </is>
      </c>
      <c r="F244" s="10" t="inlineStr">
        <is>
          <t>Có</t>
        </is>
      </c>
      <c r="G244" s="12" t="n">
        <v>0</v>
      </c>
      <c r="H244" s="14">
        <f>G244/68213</f>
        <v/>
      </c>
      <c r="I244" s="10" t="n"/>
      <c r="J244" s="10" t="inlineStr">
        <is>
          <t>Kỹ thuật</t>
        </is>
      </c>
      <c r="K244" s="10" t="inlineStr">
        <is>
          <t>Kỹ thuật – HIS</t>
        </is>
      </c>
      <c r="L244" s="10" t="inlineStr">
        <is>
          <t>CNTT</t>
        </is>
      </c>
      <c r="M244" s="10" t="inlineStr">
        <is>
          <t>Phòng TCKT; Phòng BHYT</t>
        </is>
      </c>
      <c r="N244" s="10" t="inlineStr">
        <is>
          <t>Sửa công thức tính tiền/tỷ lệ/nguồn chi trả trên HIS</t>
        </is>
      </c>
      <c r="O244" s="10" t="n"/>
      <c r="P244" s="17" t="n">
        <v>0</v>
      </c>
    </row>
    <row r="245">
      <c r="A245" s="10" t="n">
        <v>241</v>
      </c>
      <c r="B245" s="10" t="inlineStr">
        <is>
          <t>XML3_THANH_TIEN_BV_SAI_CONG_THUC</t>
        </is>
      </c>
      <c r="C245" s="10" t="inlineStr">
        <is>
          <t>XML3</t>
        </is>
      </c>
      <c r="D245" s="10" t="inlineStr">
        <is>
          <t>Thành tiền BV không đúng công thức</t>
        </is>
      </c>
      <c r="E245" s="10" t="inlineStr">
        <is>
          <t>Không</t>
        </is>
      </c>
      <c r="F245" s="10" t="inlineStr">
        <is>
          <t>Có</t>
        </is>
      </c>
      <c r="G245" s="12" t="n">
        <v>0</v>
      </c>
      <c r="H245" s="14">
        <f>G245/68213</f>
        <v/>
      </c>
      <c r="I245" s="10" t="n"/>
      <c r="J245" s="10" t="inlineStr">
        <is>
          <t>Kỹ thuật</t>
        </is>
      </c>
      <c r="K245" s="10" t="inlineStr">
        <is>
          <t>Kỹ thuật – HIS</t>
        </is>
      </c>
      <c r="L245" s="10" t="inlineStr">
        <is>
          <t>CNTT</t>
        </is>
      </c>
      <c r="M245" s="10" t="inlineStr">
        <is>
          <t>Phòng TCKT; Phòng BHYT</t>
        </is>
      </c>
      <c r="N245" s="10" t="inlineStr">
        <is>
          <t>Sửa công thức tính tiền/tỷ lệ/nguồn chi trả trên HIS</t>
        </is>
      </c>
      <c r="O245" s="10" t="n"/>
      <c r="P245" s="17" t="n">
        <v>0</v>
      </c>
    </row>
    <row r="246">
      <c r="A246" s="10" t="n">
        <v>242</v>
      </c>
      <c r="B246" s="10" t="inlineStr">
        <is>
          <t>XML3_T_NGUONKHAC_SAI_TONG</t>
        </is>
      </c>
      <c r="C246" s="10" t="inlineStr">
        <is>
          <t>XML3</t>
        </is>
      </c>
      <c r="D246" s="10" t="inlineStr">
        <is>
          <t>Tiền nguồn khác không bằng tổng bốn nguồn thành phần</t>
        </is>
      </c>
      <c r="E246" s="10" t="inlineStr">
        <is>
          <t>Không</t>
        </is>
      </c>
      <c r="F246" s="10" t="inlineStr">
        <is>
          <t>Có</t>
        </is>
      </c>
      <c r="G246" s="12" t="n">
        <v>0</v>
      </c>
      <c r="H246" s="14">
        <f>G246/68213</f>
        <v/>
      </c>
      <c r="I246" s="10" t="n"/>
      <c r="J246" s="10" t="inlineStr">
        <is>
          <t>Kỹ thuật</t>
        </is>
      </c>
      <c r="K246" s="10" t="inlineStr">
        <is>
          <t>Kỹ thuật – HIS</t>
        </is>
      </c>
      <c r="L246" s="10" t="inlineStr">
        <is>
          <t>CNTT</t>
        </is>
      </c>
      <c r="M246" s="10" t="inlineStr">
        <is>
          <t>Phòng TCKT; Phòng BHYT</t>
        </is>
      </c>
      <c r="N246" s="10" t="inlineStr">
        <is>
          <t>Sửa công thức tính tiền/tỷ lệ/nguồn chi trả trên HIS</t>
        </is>
      </c>
      <c r="O246" s="10" t="n"/>
      <c r="P246" s="17" t="n">
        <v>0</v>
      </c>
    </row>
    <row r="247">
      <c r="A247" s="10" t="n">
        <v>243</v>
      </c>
      <c r="B247" s="10" t="inlineStr">
        <is>
          <t>XML7_SO_NGAY_NGHI_MISMATCH</t>
        </is>
      </c>
      <c r="C247" s="10" t="inlineStr">
        <is>
          <t>XML7</t>
        </is>
      </c>
      <c r="D247" s="10" t="inlineStr">
        <is>
          <t>Số ngày nghỉ không đúng (đến − từ)</t>
        </is>
      </c>
      <c r="E247" s="10" t="inlineStr">
        <is>
          <t>Có</t>
        </is>
      </c>
      <c r="F247" s="10" t="inlineStr">
        <is>
          <t>Có</t>
        </is>
      </c>
      <c r="G247" s="12" t="n">
        <v>0</v>
      </c>
      <c r="H247" s="14">
        <f>G247/68213</f>
        <v/>
      </c>
      <c r="I247" s="10" t="inlineStr">
        <is>
          <t>Khai 9 ngày, nhưng từ 01/10/2026 đến 10/10/2026 là 10 ngày</t>
        </is>
      </c>
      <c r="J247" s="10" t="inlineStr">
        <is>
          <t>Kỹ thuật</t>
        </is>
      </c>
      <c r="K247" s="10" t="inlineStr">
        <is>
          <t>Kỹ thuật – HIS</t>
        </is>
      </c>
      <c r="L247" s="10" t="inlineStr">
        <is>
          <t>CNTT</t>
        </is>
      </c>
      <c r="M247" s="10" t="inlineStr">
        <is>
          <t>Phòng KHTH; Khoa Dược</t>
        </is>
      </c>
      <c r="N247" s="10" t="inlineStr">
        <is>
          <t>Sửa ánh xạ/định dạng dữ liệu khi HIS xuất XML; bắt buộc nhập trường còn thiếu</t>
        </is>
      </c>
      <c r="O247" s="10" t="n"/>
      <c r="P247" s="17" t="n">
        <v>0</v>
      </c>
    </row>
    <row r="248">
      <c r="A248" s="10" t="n">
        <v>244</v>
      </c>
      <c r="B248" s="10" t="inlineStr">
        <is>
          <t>XML8_INFO_ERROR_KET_QUA_DTRI</t>
        </is>
      </c>
      <c r="C248" s="10" t="inlineStr">
        <is>
          <t>XML8</t>
        </is>
      </c>
      <c r="D248" s="10" t="inlineStr">
        <is>
          <t>Thiếu kết quả điều trị</t>
        </is>
      </c>
      <c r="E248" s="10" t="inlineStr">
        <is>
          <t>Có</t>
        </is>
      </c>
      <c r="F248" s="10" t="inlineStr">
        <is>
          <t>Có</t>
        </is>
      </c>
      <c r="G248" s="12" t="n">
        <v>0</v>
      </c>
      <c r="H248" s="14">
        <f>G248/68213</f>
        <v/>
      </c>
      <c r="I248" s="10" t="n"/>
      <c r="J248" s="10" t="inlineStr">
        <is>
          <t>Nghiệp vụ</t>
        </is>
      </c>
      <c r="K248" s="10" t="inlineStr">
        <is>
          <t>Nghiệp vụ – Chuyên môn lâm sàng</t>
        </is>
      </c>
      <c r="L248" s="10" t="inlineStr">
        <is>
          <t>Khoa lâm sàng</t>
        </is>
      </c>
      <c r="M248" s="10" t="inlineStr">
        <is>
          <t>Phòng KHTH</t>
        </is>
      </c>
      <c r="N248" s="10" t="inlineStr">
        <is>
          <t>Bác sĩ nhập đủ, đúng nội dung chuyên môn trên HIS; Phòng KHTH kiểm tra</t>
        </is>
      </c>
      <c r="O248" s="10" t="inlineStr">
        <is>
          <t>#48</t>
        </is>
      </c>
      <c r="P248" s="17" t="n">
        <v>0</v>
      </c>
    </row>
    <row r="249">
      <c r="A249" s="10" t="n">
        <v>245</v>
      </c>
      <c r="B249" s="10" t="inlineStr">
        <is>
          <t>XML9_INFO_ERROR_NGAYCAP_CCCD_NND</t>
        </is>
      </c>
      <c r="C249" s="10" t="inlineStr">
        <is>
          <t>XML9</t>
        </is>
      </c>
      <c r="D249" s="10" t="inlineStr">
        <is>
          <t>Thiếu ngày cấp CCCD người nuôi dưỡng</t>
        </is>
      </c>
      <c r="E249" s="10" t="inlineStr">
        <is>
          <t>Có</t>
        </is>
      </c>
      <c r="F249" s="10" t="inlineStr">
        <is>
          <t>Có</t>
        </is>
      </c>
      <c r="G249" s="12" t="n">
        <v>0</v>
      </c>
      <c r="H249" s="14">
        <f>G249/68213</f>
        <v/>
      </c>
      <c r="I249" s="10" t="n"/>
      <c r="J249" s="10" t="inlineStr">
        <is>
          <t>Nghiệp vụ</t>
        </is>
      </c>
      <c r="K249" s="10" t="inlineStr">
        <is>
          <t>Nghiệp vụ – Hành chính, tiếp đón</t>
        </is>
      </c>
      <c r="L249" s="10" t="inlineStr">
        <is>
          <t>Tiếp đón</t>
        </is>
      </c>
      <c r="M249" s="10" t="inlineStr">
        <is>
          <t>CNTT</t>
        </is>
      </c>
      <c r="N249" s="10" t="inlineStr">
        <is>
          <t>Tiếp đón nhập đủ thông tin hành chính; HIS bắt buộc trường bắt buộc</t>
        </is>
      </c>
      <c r="O249" s="10" t="n"/>
      <c r="P249" s="17" t="n">
        <v>0</v>
      </c>
    </row>
    <row r="250">
      <c r="A250" s="10" t="n">
        <v>246</v>
      </c>
      <c r="B250" s="10" t="inlineStr">
        <is>
          <t>XML9_INFO_ERROR_NOICAP_CCCD_NND</t>
        </is>
      </c>
      <c r="C250" s="10" t="inlineStr">
        <is>
          <t>XML9</t>
        </is>
      </c>
      <c r="D250" s="10" t="inlineStr">
        <is>
          <t>Thiếu nơi cấp CCCD người nuôi dưỡng</t>
        </is>
      </c>
      <c r="E250" s="10" t="inlineStr">
        <is>
          <t>Có</t>
        </is>
      </c>
      <c r="F250" s="10" t="inlineStr">
        <is>
          <t>Có</t>
        </is>
      </c>
      <c r="G250" s="12" t="n">
        <v>0</v>
      </c>
      <c r="H250" s="14">
        <f>G250/68213</f>
        <v/>
      </c>
      <c r="I250" s="10" t="n"/>
      <c r="J250" s="10" t="inlineStr">
        <is>
          <t>Nghiệp vụ</t>
        </is>
      </c>
      <c r="K250" s="10" t="inlineStr">
        <is>
          <t>Nghiệp vụ – Hành chính, tiếp đón</t>
        </is>
      </c>
      <c r="L250" s="10" t="inlineStr">
        <is>
          <t>Tiếp đón</t>
        </is>
      </c>
      <c r="M250" s="10" t="inlineStr">
        <is>
          <t>CNTT</t>
        </is>
      </c>
      <c r="N250" s="10" t="inlineStr">
        <is>
          <t>Tiếp đón nhập đủ thông tin hành chính; HIS bắt buộc trường bắt buộc</t>
        </is>
      </c>
      <c r="O250" s="10" t="n"/>
      <c r="P250" s="17" t="n">
        <v>0</v>
      </c>
    </row>
    <row r="251">
      <c r="A251" s="10" t="n">
        <v>247</v>
      </c>
      <c r="B251" s="10" t="inlineStr">
        <is>
          <t>XMLComplete_DOI_TUONG_KCB_LINH_THUOC_CO_TIEN_KHAM</t>
        </is>
      </c>
      <c r="C251" s="10" t="inlineStr">
        <is>
          <t>XMLComplete</t>
        </is>
      </c>
      <c r="D251" s="10" t="inlineStr">
        <is>
          <t>Chỉ lĩnh thuốc nhưng vẫn có tiền công khám</t>
        </is>
      </c>
      <c r="E251" s="10" t="inlineStr">
        <is>
          <t>Không</t>
        </is>
      </c>
      <c r="F251" s="10" t="inlineStr">
        <is>
          <t>Có</t>
        </is>
      </c>
      <c r="G251" s="12" t="n">
        <v>0</v>
      </c>
      <c r="H251" s="14">
        <f>G251/68213</f>
        <v/>
      </c>
      <c r="I251" s="10" t="n"/>
      <c r="J251" s="10" t="inlineStr">
        <is>
          <t>Nghiệp vụ</t>
        </is>
      </c>
      <c r="K251" s="10" t="inlineStr">
        <is>
          <t>Nghiệp vụ – Quy định BHYT</t>
        </is>
      </c>
      <c r="L251" s="10" t="inlineStr">
        <is>
          <t>Phòng BHYT</t>
        </is>
      </c>
      <c r="M251" s="10" t="inlineStr">
        <is>
          <t>Tiếp đón; CNTT</t>
        </is>
      </c>
      <c r="N251" s="10" t="inlineStr">
        <is>
          <t>Tiếp đón khai đúng mã đối tượng, giấy chuyển tuyến/hẹn, mức hưởng theo thẻ; HIS chặn khi thiếu</t>
        </is>
      </c>
      <c r="O251" s="10" t="n"/>
      <c r="P251" s="17" t="n">
        <v>0</v>
      </c>
    </row>
    <row r="252">
      <c r="A252" s="10" t="n">
        <v>248</v>
      </c>
      <c r="B252" s="10" t="inlineStr">
        <is>
          <t>XMLComplete_DOI_TUONG_KCB_MUC_HUONG_CO_DINH</t>
        </is>
      </c>
      <c r="C252" s="10" t="inlineStr">
        <is>
          <t>XMLComplete</t>
        </is>
      </c>
      <c r="D252" s="10" t="inlineStr">
        <is>
          <t>Mức hưởng không đúng quy định của mã đối tượng</t>
        </is>
      </c>
      <c r="E252" s="10" t="inlineStr">
        <is>
          <t>Không</t>
        </is>
      </c>
      <c r="F252" s="10" t="inlineStr">
        <is>
          <t>Có</t>
        </is>
      </c>
      <c r="G252" s="12" t="n">
        <v>0</v>
      </c>
      <c r="H252" s="14">
        <f>G252/68213</f>
        <v/>
      </c>
      <c r="I252" s="10" t="n"/>
      <c r="J252" s="10" t="inlineStr">
        <is>
          <t>Nghiệp vụ</t>
        </is>
      </c>
      <c r="K252" s="10" t="inlineStr">
        <is>
          <t>Nghiệp vụ – Quy định BHYT</t>
        </is>
      </c>
      <c r="L252" s="10" t="inlineStr">
        <is>
          <t>Phòng BHYT</t>
        </is>
      </c>
      <c r="M252" s="10" t="inlineStr">
        <is>
          <t>Tiếp đón; CNTT</t>
        </is>
      </c>
      <c r="N252" s="10" t="inlineStr">
        <is>
          <t>Tiếp đón khai đúng mã đối tượng, giấy chuyển tuyến/hẹn, mức hưởng theo thẻ; HIS chặn khi thiếu</t>
        </is>
      </c>
      <c r="O252" s="10" t="n"/>
      <c r="P252" s="17" t="n">
        <v>0</v>
      </c>
    </row>
    <row r="253">
      <c r="A253" s="10" t="n">
        <v>249</v>
      </c>
      <c r="B253" s="10" t="inlineStr">
        <is>
          <t>XMLComplete_DOI_TUONG_KCB_MUC_HUONG_THEO_MOC</t>
        </is>
      </c>
      <c r="C253" s="10" t="inlineStr">
        <is>
          <t>XMLComplete</t>
        </is>
      </c>
      <c r="D253" s="10" t="inlineStr">
        <is>
          <t>Mức hưởng không đúng mốc thời gian của mã đối tượng</t>
        </is>
      </c>
      <c r="E253" s="10" t="inlineStr">
        <is>
          <t>Không</t>
        </is>
      </c>
      <c r="F253" s="10" t="inlineStr">
        <is>
          <t>Có</t>
        </is>
      </c>
      <c r="G253" s="12" t="n">
        <v>0</v>
      </c>
      <c r="H253" s="14">
        <f>G253/68213</f>
        <v/>
      </c>
      <c r="I253" s="10" t="n"/>
      <c r="J253" s="10" t="inlineStr">
        <is>
          <t>Nghiệp vụ</t>
        </is>
      </c>
      <c r="K253" s="10" t="inlineStr">
        <is>
          <t>Nghiệp vụ – Quy định BHYT</t>
        </is>
      </c>
      <c r="L253" s="10" t="inlineStr">
        <is>
          <t>Phòng BHYT</t>
        </is>
      </c>
      <c r="M253" s="10" t="inlineStr">
        <is>
          <t>Tiếp đón; CNTT</t>
        </is>
      </c>
      <c r="N253" s="10" t="inlineStr">
        <is>
          <t>Tiếp đón khai đúng mã đối tượng, giấy chuyển tuyến/hẹn, mức hưởng theo thẻ; HIS chặn khi thiếu</t>
        </is>
      </c>
      <c r="O253" s="10" t="n"/>
      <c r="P253" s="17" t="n">
        <v>0</v>
      </c>
    </row>
    <row r="254">
      <c r="A254" s="10" t="n">
        <v>250</v>
      </c>
      <c r="B254" s="10" t="inlineStr">
        <is>
          <t>XMLComplete_INFO_ERROR_XML_COMPLETE_MISSING_XML7</t>
        </is>
      </c>
      <c r="C254" s="10" t="inlineStr">
        <is>
          <t>XMLComplete</t>
        </is>
      </c>
      <c r="D254" s="10" t="inlineStr">
        <is>
          <t>Thiếu hồ sơ XML7 (Giấy ra viện)</t>
        </is>
      </c>
      <c r="E254" s="10" t="inlineStr">
        <is>
          <t>Có</t>
        </is>
      </c>
      <c r="F254" s="10" t="inlineStr">
        <is>
          <t>Có</t>
        </is>
      </c>
      <c r="G254" s="12" t="n">
        <v>0</v>
      </c>
      <c r="H254" s="14">
        <f>G254/68213</f>
        <v/>
      </c>
      <c r="I254" s="10" t="n"/>
      <c r="J254" s="10" t="inlineStr">
        <is>
          <t>Kỹ thuật</t>
        </is>
      </c>
      <c r="K254" s="10" t="inlineStr">
        <is>
          <t>Kỹ thuật – HIS</t>
        </is>
      </c>
      <c r="L254" s="10" t="inlineStr">
        <is>
          <t>CNTT</t>
        </is>
      </c>
      <c r="M254" s="10" t="inlineStr">
        <is>
          <t>Phòng KHTH; Khoa Dược</t>
        </is>
      </c>
      <c r="N254" s="10" t="inlineStr">
        <is>
          <t>Sửa ánh xạ/định dạng dữ liệu khi HIS xuất XML; bắt buộc nhập trường còn thiếu</t>
        </is>
      </c>
      <c r="O254" s="10" t="n"/>
      <c r="P254" s="17" t="n">
        <v>0</v>
      </c>
    </row>
    <row r="255">
      <c r="A255" s="10" t="n">
        <v>251</v>
      </c>
      <c r="B255" s="10" t="inlineStr">
        <is>
          <t>XMLComplete_INVALID_EXPENSE_DRUG</t>
        </is>
      </c>
      <c r="C255" s="10" t="inlineStr">
        <is>
          <t>XMLComplete</t>
        </is>
      </c>
      <c r="D255" s="10" t="inlineStr">
        <is>
          <t>Tiền thuốc không khớp</t>
        </is>
      </c>
      <c r="E255" s="10" t="inlineStr">
        <is>
          <t>Có</t>
        </is>
      </c>
      <c r="F255" s="10" t="inlineStr">
        <is>
          <t>Có</t>
        </is>
      </c>
      <c r="G255" s="12" t="n">
        <v>0</v>
      </c>
      <c r="H255" s="14">
        <f>G255/68213</f>
        <v/>
      </c>
      <c r="I255" s="10" t="n"/>
      <c r="J255" s="10" t="inlineStr">
        <is>
          <t>Kỹ thuật</t>
        </is>
      </c>
      <c r="K255" s="10" t="inlineStr">
        <is>
          <t>Kỹ thuật – HIS</t>
        </is>
      </c>
      <c r="L255" s="10" t="inlineStr">
        <is>
          <t>CNTT</t>
        </is>
      </c>
      <c r="M255" s="10" t="inlineStr">
        <is>
          <t>Phòng TCKT; Phòng BHYT</t>
        </is>
      </c>
      <c r="N255" s="10" t="inlineStr">
        <is>
          <t>Sửa công thức tính tiền/tỷ lệ/nguồn chi trả trên HIS</t>
        </is>
      </c>
      <c r="O255" s="10" t="n"/>
      <c r="P255" s="17" t="n">
        <v>0</v>
      </c>
    </row>
    <row r="256">
      <c r="A256" s="10" t="n">
        <v>252</v>
      </c>
      <c r="B256" s="10" t="inlineStr">
        <is>
          <t>XMLComplete_INVALID_EXPENSE_T_BHTT_GDV</t>
        </is>
      </c>
      <c r="C256" s="10" t="inlineStr">
        <is>
          <t>XMLComplete</t>
        </is>
      </c>
      <c r="D256" s="10" t="inlineStr">
        <is>
          <t>Tiền bảo hiểm thanh toán GDV không khớp</t>
        </is>
      </c>
      <c r="E256" s="10" t="inlineStr">
        <is>
          <t>Có</t>
        </is>
      </c>
      <c r="F256" s="10" t="inlineStr">
        <is>
          <t>Có</t>
        </is>
      </c>
      <c r="G256" s="12" t="n">
        <v>0</v>
      </c>
      <c r="H256" s="14">
        <f>G256/68213</f>
        <v/>
      </c>
      <c r="I256" s="10" t="n"/>
      <c r="J256" s="10" t="inlineStr">
        <is>
          <t>Kỹ thuật</t>
        </is>
      </c>
      <c r="K256" s="10" t="inlineStr">
        <is>
          <t>Kỹ thuật – HIS</t>
        </is>
      </c>
      <c r="L256" s="10" t="inlineStr">
        <is>
          <t>CNTT</t>
        </is>
      </c>
      <c r="M256" s="10" t="inlineStr">
        <is>
          <t>Phòng TCKT; Phòng BHYT</t>
        </is>
      </c>
      <c r="N256" s="10" t="inlineStr">
        <is>
          <t>Sửa công thức tính tiền/tỷ lệ/nguồn chi trả trên HIS</t>
        </is>
      </c>
      <c r="O256" s="10" t="n"/>
      <c r="P256" s="17" t="n">
        <v>0</v>
      </c>
    </row>
    <row r="257">
      <c r="A257" s="10" t="n">
        <v>253</v>
      </c>
      <c r="B257" s="10" t="inlineStr">
        <is>
          <t>XMLComplete_INVALID_EXPENSE_T_TONGCHI_BH</t>
        </is>
      </c>
      <c r="C257" s="10" t="inlineStr">
        <is>
          <t>XMLComplete</t>
        </is>
      </c>
      <c r="D257" s="10" t="inlineStr">
        <is>
          <t>Tổng chi phí BH thanh toán không khớp</t>
        </is>
      </c>
      <c r="E257" s="10" t="inlineStr">
        <is>
          <t>Có</t>
        </is>
      </c>
      <c r="F257" s="10" t="inlineStr">
        <is>
          <t>Có</t>
        </is>
      </c>
      <c r="G257" s="12" t="n">
        <v>0</v>
      </c>
      <c r="H257" s="14">
        <f>G257/68213</f>
        <v/>
      </c>
      <c r="I257" s="10" t="n"/>
      <c r="J257" s="10" t="inlineStr">
        <is>
          <t>Kỹ thuật</t>
        </is>
      </c>
      <c r="K257" s="10" t="inlineStr">
        <is>
          <t>Kỹ thuật – HIS</t>
        </is>
      </c>
      <c r="L257" s="10" t="inlineStr">
        <is>
          <t>CNTT</t>
        </is>
      </c>
      <c r="M257" s="10" t="inlineStr">
        <is>
          <t>Phòng TCKT; Phòng BHYT</t>
        </is>
      </c>
      <c r="N257" s="10" t="inlineStr">
        <is>
          <t>Sửa công thức tính tiền/tỷ lệ/nguồn chi trả trên HIS</t>
        </is>
      </c>
      <c r="O257" s="10" t="n"/>
      <c r="P257" s="17" t="n">
        <v>0</v>
      </c>
    </row>
    <row r="258">
      <c r="A258" s="10" t="n">
        <v>254</v>
      </c>
      <c r="B258" s="10" t="inlineStr">
        <is>
          <t>XMLComplete_INVALID_EXPENSE_T_TONGCHI_BV</t>
        </is>
      </c>
      <c r="C258" s="10" t="inlineStr">
        <is>
          <t>XMLComplete</t>
        </is>
      </c>
      <c r="D258" s="10" t="inlineStr">
        <is>
          <t>Tổng chi phí không khớp</t>
        </is>
      </c>
      <c r="E258" s="10" t="inlineStr">
        <is>
          <t>Có</t>
        </is>
      </c>
      <c r="F258" s="10" t="inlineStr">
        <is>
          <t>Có</t>
        </is>
      </c>
      <c r="G258" s="12" t="n">
        <v>0</v>
      </c>
      <c r="H258" s="14">
        <f>G258/68213</f>
        <v/>
      </c>
      <c r="I258" s="10" t="n"/>
      <c r="J258" s="10" t="inlineStr">
        <is>
          <t>Kỹ thuật</t>
        </is>
      </c>
      <c r="K258" s="10" t="inlineStr">
        <is>
          <t>Kỹ thuật – HIS</t>
        </is>
      </c>
      <c r="L258" s="10" t="inlineStr">
        <is>
          <t>CNTT</t>
        </is>
      </c>
      <c r="M258" s="10" t="inlineStr">
        <is>
          <t>Phòng TCKT; Phòng BHYT</t>
        </is>
      </c>
      <c r="N258" s="10" t="inlineStr">
        <is>
          <t>Sửa công thức tính tiền/tỷ lệ/nguồn chi trả trên HIS</t>
        </is>
      </c>
      <c r="O258" s="10" t="n"/>
      <c r="P258" s="17" t="n">
        <v>0</v>
      </c>
    </row>
    <row r="259">
      <c r="A259" s="10" t="n">
        <v>255</v>
      </c>
      <c r="B259" s="10" t="inlineStr">
        <is>
          <t>XMLComplete_NGAY_TAI_KHAM_SAI_DINH_DANG</t>
        </is>
      </c>
      <c r="C259" s="10" t="inlineStr">
        <is>
          <t>XMLComplete</t>
        </is>
      </c>
      <c r="D259" s="10" t="inlineStr">
        <is>
          <t>Ngày tái khám sai định dạng</t>
        </is>
      </c>
      <c r="E259" s="10" t="inlineStr">
        <is>
          <t>Không</t>
        </is>
      </c>
      <c r="F259" s="10" t="inlineStr">
        <is>
          <t>Có</t>
        </is>
      </c>
      <c r="G259" s="12" t="n">
        <v>0</v>
      </c>
      <c r="H259" s="14">
        <f>G259/68213</f>
        <v/>
      </c>
      <c r="I259" s="10" t="n"/>
      <c r="J259" s="10" t="inlineStr">
        <is>
          <t>Kỹ thuật</t>
        </is>
      </c>
      <c r="K259" s="10" t="inlineStr">
        <is>
          <t>Kỹ thuật – HIS</t>
        </is>
      </c>
      <c r="L259" s="10" t="inlineStr">
        <is>
          <t>CNTT</t>
        </is>
      </c>
      <c r="M259" s="10" t="inlineStr">
        <is>
          <t>Phòng KHTH; Khoa Dược</t>
        </is>
      </c>
      <c r="N259" s="10" t="inlineStr">
        <is>
          <t>Sửa ánh xạ/định dạng dữ liệu khi HIS xuất XML; bắt buộc nhập trường còn thiếu</t>
        </is>
      </c>
      <c r="O259" s="10" t="n"/>
      <c r="P259" s="17" t="n">
        <v>0</v>
      </c>
    </row>
  </sheetData>
  <autoFilter ref="A4:P259"/>
  <conditionalFormatting sqref="A5:O259">
    <cfRule type="expression" priority="1" dxfId="0">
      <formula>$G5=0</formula>
    </cfRule>
  </conditionalFormatting>
  <conditionalFormatting sqref="E5:E259">
    <cfRule type="expression" priority="2" dxfId="1">
      <formula>$E5="Có"</formula>
    </cfRule>
  </conditionalFormatting>
  <conditionalFormatting sqref="J5:J259">
    <cfRule type="expression" priority="3" dxfId="2">
      <formula>$J5="Kỹ thuật"</formula>
    </cfRule>
    <cfRule type="expression" priority="4" dxfId="3">
      <formula>$J5="Nghiệp vụ"</formula>
    </cfRule>
  </conditionalFormatting>
  <conditionalFormatting sqref="P5:P259">
    <cfRule type="expression" priority="5" dxfId="0">
      <formula>$G5=0</formula>
    </cfRule>
  </conditionalFormatting>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26" customWidth="1" min="3" max="3"/>
    <col width="50" customWidth="1" min="4" max="4"/>
    <col width="12" customWidth="1" min="5" max="5"/>
    <col width="44" customWidth="1" min="6" max="6"/>
    <col width="14" customWidth="1" min="7" max="7"/>
    <col width="30" customWidth="1" min="8" max="8"/>
    <col width="22" customWidth="1" min="9" max="9"/>
  </cols>
  <sheetData>
    <row r="1">
      <c r="A1" s="1" t="inlineStr">
        <is>
          <t>ĐỐI CHIẾU: LỖI HỆ THỐNG KHÁC TỰ SỬA (FIXERROR) ↔ LỖI TIỀN GIÁM ĐỊNH CHẶN</t>
        </is>
      </c>
    </row>
    <row r="2">
      <c r="A2" s="2" t="inlineStr">
        <is>
          <t>Nguồn quy tắc: fixerror-he-thong-khac-lech-his-cong.xlsx. Tiền giám định không tự sửa – chặn/cảnh báo để sửa tại nguồn.</t>
        </is>
      </c>
    </row>
    <row r="4" ht="34" customHeight="1">
      <c r="A4" s="4" t="inlineStr">
        <is>
          <t>#</t>
        </is>
      </c>
      <c r="B4" s="4" t="inlineStr">
        <is>
          <t>Bảng</t>
        </is>
      </c>
      <c r="C4" s="4" t="inlineStr">
        <is>
          <t>Trường bị sửa</t>
        </is>
      </c>
      <c r="D4" s="4" t="inlineStr">
        <is>
          <t>FIXERROR tự sửa thế nào</t>
        </is>
      </c>
      <c r="E4" s="4" t="inlineStr">
        <is>
          <t>Mức độ (FIXERROR)</t>
        </is>
      </c>
      <c r="F4" s="4" t="inlineStr">
        <is>
          <t>Mã lỗi Tiền giám định tương ứng</t>
        </is>
      </c>
      <c r="G4" s="4" t="inlineStr">
        <is>
          <t>Số HS Tiền giám định bắt (mã lớn nhất)</t>
        </is>
      </c>
      <c r="H4" s="4" t="inlineStr">
        <is>
          <t>Nhóm lỗi</t>
        </is>
      </c>
      <c r="I4" s="4" t="inlineStr">
        <is>
          <t>Đơn vị sửa tại nguồn</t>
        </is>
      </c>
    </row>
    <row r="5">
      <c r="A5" s="10" t="n">
        <v>1</v>
      </c>
      <c r="B5" s="10" t="inlineStr">
        <is>
          <t>XML1</t>
        </is>
      </c>
      <c r="C5" s="10" t="inlineStr">
        <is>
          <t>MA_KHUVUC</t>
        </is>
      </c>
      <c r="D5" s="10" t="inlineStr">
        <is>
          <t>Xoá thành rỗng</t>
        </is>
      </c>
      <c r="E5" s="10" t="inlineStr">
        <is>
          <t>Trung bình</t>
        </is>
      </c>
      <c r="F5" s="10" t="inlineStr">
        <is>
          <t>XML1_ADMIN_INFO_ERROR_MA_KHUVUC
XML1_DOI_TUONG_KCB_THIEU_MA_KHUVUC</t>
        </is>
      </c>
      <c r="G5" s="12" t="n">
        <v>2</v>
      </c>
      <c r="H5" s="10" t="inlineStr">
        <is>
          <t>Nghiệp vụ – Quy định BHYT</t>
        </is>
      </c>
      <c r="I5" s="10" t="inlineStr">
        <is>
          <t>Phòng BHYT</t>
        </is>
      </c>
    </row>
    <row r="6">
      <c r="A6" s="10" t="n">
        <v>2</v>
      </c>
      <c r="B6" s="10" t="inlineStr">
        <is>
          <t>XML1</t>
        </is>
      </c>
      <c r="C6" s="10" t="inlineStr">
        <is>
          <t>MATINH_CU_TRU</t>
        </is>
      </c>
      <c r="D6" s="10" t="inlineStr">
        <is>
          <t>Gán cứng "01" (Hà Nội)</t>
        </is>
      </c>
      <c r="E6" s="10" t="inlineStr">
        <is>
          <t>Cao</t>
        </is>
      </c>
      <c r="F6" s="10" t="inlineStr">
        <is>
          <t>XML1_ADMIN_INFO_ERROR_MATINH_CU_TRU</t>
        </is>
      </c>
      <c r="G6" s="12" t="n">
        <v>0</v>
      </c>
      <c r="H6" s="10" t="inlineStr">
        <is>
          <t>Nghiệp vụ – Hành chính, tiếp đón</t>
        </is>
      </c>
      <c r="I6" s="10" t="inlineStr">
        <is>
          <t>Tiếp đón</t>
        </is>
      </c>
    </row>
    <row r="7">
      <c r="A7" s="10" t="n">
        <v>3</v>
      </c>
      <c r="B7" s="10" t="inlineStr">
        <is>
          <t>XML1</t>
        </is>
      </c>
      <c r="C7" s="10" t="inlineStr">
        <is>
          <t>MATINH_CU_TRU</t>
        </is>
      </c>
      <c r="D7" s="10" t="inlineStr">
        <is>
          <t>Lấy ký tự thứ 2–3 (Substring(1,2))</t>
        </is>
      </c>
      <c r="E7" s="10" t="inlineStr">
        <is>
          <t>Trung bình</t>
        </is>
      </c>
      <c r="F7" s="10" t="inlineStr">
        <is>
          <t>XML1_ADMIN_INFO_ERROR_MATINH_CU_TRU_NOT_FOUND</t>
        </is>
      </c>
      <c r="G7" s="12" t="n">
        <v>8</v>
      </c>
      <c r="H7" s="10" t="inlineStr">
        <is>
          <t>Kỹ thuật – HIS</t>
        </is>
      </c>
      <c r="I7" s="10" t="inlineStr">
        <is>
          <t>CNTT</t>
        </is>
      </c>
    </row>
    <row r="8">
      <c r="A8" s="10" t="n">
        <v>4</v>
      </c>
      <c r="B8" s="10" t="inlineStr">
        <is>
          <t>XML1</t>
        </is>
      </c>
      <c r="C8" s="10" t="inlineStr">
        <is>
          <t>DIA_CHI</t>
        </is>
      </c>
      <c r="D8" s="10" t="inlineStr">
        <is>
          <t>Ghép ".,&lt;xã&gt;,&lt;huyện&gt;,&lt;tỉnh&gt;" từ danh mục ĐVHC; không khớp thì ra ".,,,"</t>
        </is>
      </c>
      <c r="E8" s="10" t="inlineStr">
        <is>
          <t>Cao</t>
        </is>
      </c>
      <c r="F8" s="10" t="inlineStr">
        <is>
          <t>Chưa có quy tắc tương ứng</t>
        </is>
      </c>
      <c r="G8" s="12" t="n"/>
      <c r="H8" s="10" t="inlineStr"/>
      <c r="I8" s="10" t="inlineStr"/>
    </row>
    <row r="9">
      <c r="A9" s="10" t="n">
        <v>5</v>
      </c>
      <c r="B9" s="10" t="inlineStr">
        <is>
          <t>XML1</t>
        </is>
      </c>
      <c r="C9" s="10" t="inlineStr">
        <is>
          <t>LY_DO_VV</t>
        </is>
      </c>
      <c r="D9" s="10" t="inlineStr">
        <is>
          <t>Gán chữ "LY_DO_VV"</t>
        </is>
      </c>
      <c r="E9" s="10" t="inlineStr">
        <is>
          <t>Cao</t>
        </is>
      </c>
      <c r="F9" s="10" t="inlineStr">
        <is>
          <t>XML1_ADMIN_INFO_ERROR_LY_DO_VV</t>
        </is>
      </c>
      <c r="G9" s="12" t="n">
        <v>1</v>
      </c>
      <c r="H9" s="10" t="inlineStr">
        <is>
          <t>Nghiệp vụ – Chuyên môn lâm sàng</t>
        </is>
      </c>
      <c r="I9" s="10" t="inlineStr">
        <is>
          <t>Khoa lâm sàng</t>
        </is>
      </c>
    </row>
    <row r="10">
      <c r="A10" s="10" t="n">
        <v>6</v>
      </c>
      <c r="B10" s="10" t="inlineStr">
        <is>
          <t>XML1</t>
        </is>
      </c>
      <c r="C10" s="10" t="inlineStr">
        <is>
          <t>LY_DO_VNT</t>
        </is>
      </c>
      <c r="D10" s="10" t="inlineStr">
        <is>
          <t>Ghi đè LY_DO_VNT bằng 5 ký tự đầu của MA_BENH_CHINH</t>
        </is>
      </c>
      <c r="E10" s="10" t="inlineStr">
        <is>
          <t>Cao</t>
        </is>
      </c>
      <c r="F10" s="10" t="inlineStr">
        <is>
          <t>XML1_SPECIAL_INPATIENT_ERROR_MA_LY_DO_VNT</t>
        </is>
      </c>
      <c r="G10" s="12" t="n">
        <v>568</v>
      </c>
      <c r="H10" s="10" t="inlineStr">
        <is>
          <t>Nghiệp vụ – Chuyên môn lâm sàng</t>
        </is>
      </c>
      <c r="I10" s="10" t="inlineStr">
        <is>
          <t>Khoa lâm sàng</t>
        </is>
      </c>
    </row>
    <row r="11">
      <c r="A11" s="10" t="n">
        <v>7</v>
      </c>
      <c r="B11" s="10" t="inlineStr">
        <is>
          <t>XML1</t>
        </is>
      </c>
      <c r="C11" s="10" t="inlineStr">
        <is>
          <t>LY_DO_VNT</t>
        </is>
      </c>
      <c r="D11" s="10" t="inlineStr">
        <is>
          <t>Gán chữ "LY_DO_VNT"</t>
        </is>
      </c>
      <c r="E11" s="10" t="inlineStr">
        <is>
          <t>Cao</t>
        </is>
      </c>
      <c r="F11" s="10" t="inlineStr">
        <is>
          <t>XML1_SPECIAL_INPATIENT_ERROR_LY_DO_VNT</t>
        </is>
      </c>
      <c r="G11" s="12" t="n">
        <v>0</v>
      </c>
      <c r="H11" s="10" t="inlineStr">
        <is>
          <t>Nghiệp vụ – Chuyên môn lâm sàng</t>
        </is>
      </c>
      <c r="I11" s="10" t="inlineStr">
        <is>
          <t>Khoa lâm sàng</t>
        </is>
      </c>
    </row>
    <row r="12">
      <c r="A12" s="10" t="n">
        <v>8</v>
      </c>
      <c r="B12" s="10" t="inlineStr">
        <is>
          <t>XML1</t>
        </is>
      </c>
      <c r="C12" s="10" t="inlineStr">
        <is>
          <t>MA_NGHE_NGHIEP</t>
        </is>
      </c>
      <c r="D12" s="10" t="inlineStr">
        <is>
          <t>Gán "00"</t>
        </is>
      </c>
      <c r="E12" s="10" t="inlineStr">
        <is>
          <t>Trung bình</t>
        </is>
      </c>
      <c r="F12" s="10" t="inlineStr">
        <is>
          <t>XML1_ADMIN_INFO_ERROR_MA_NGHE_NGHIEP</t>
        </is>
      </c>
      <c r="G12" s="12" t="n">
        <v>12</v>
      </c>
      <c r="H12" s="10" t="inlineStr">
        <is>
          <t>Nghiệp vụ – Hành chính, tiếp đón</t>
        </is>
      </c>
      <c r="I12" s="10" t="inlineStr">
        <is>
          <t>Tiếp đón</t>
        </is>
      </c>
    </row>
    <row r="13">
      <c r="A13" s="10" t="n">
        <v>9</v>
      </c>
      <c r="B13" s="10" t="inlineStr">
        <is>
          <t>XML1</t>
        </is>
      </c>
      <c r="C13" s="10" t="inlineStr">
        <is>
          <t>CAN_NANG</t>
        </is>
      </c>
      <c r="D13" s="10" t="inlineStr">
        <is>
          <t>Bịa cân nặng theo tuổi: ≤1 tuổi = 5 kg; 2 tuổi = 13; 3 = 14 … 17 tuổi = 40; ≥18 tuổi = 45 kg</t>
        </is>
      </c>
      <c r="E13" s="10" t="inlineStr">
        <is>
          <t>Nghiêm trọng</t>
        </is>
      </c>
      <c r="F13" s="10" t="inlineStr">
        <is>
          <t>XML1_ADMIN_INFO_ERROR_CAN_NANG</t>
        </is>
      </c>
      <c r="G13" s="12" t="n">
        <v>0</v>
      </c>
      <c r="H13" s="10" t="inlineStr">
        <is>
          <t>Nghiệp vụ – Hành chính, tiếp đón</t>
        </is>
      </c>
      <c r="I13" s="10" t="inlineStr">
        <is>
          <t>Tiếp đón</t>
        </is>
      </c>
    </row>
    <row r="14">
      <c r="A14" s="10" t="n">
        <v>10</v>
      </c>
      <c r="B14" s="10" t="inlineStr">
        <is>
          <t>XML1</t>
        </is>
      </c>
      <c r="C14" s="10" t="inlineStr">
        <is>
          <t>CAN_NANG</t>
        </is>
      </c>
      <c r="D14" s="10" t="inlineStr">
        <is>
          <t>Chia 1000 (giả định nhập gam)</t>
        </is>
      </c>
      <c r="E14" s="10" t="inlineStr">
        <is>
          <t>Trung bình</t>
        </is>
      </c>
      <c r="F14" s="10" t="inlineStr">
        <is>
          <t>XML1_ADMIN_INFO_ERROR_TO_MUCH_CAN_NANG</t>
        </is>
      </c>
      <c r="G14" s="12" t="n">
        <v>37</v>
      </c>
      <c r="H14" s="10" t="inlineStr">
        <is>
          <t>Nghiệp vụ – Hành chính, tiếp đón</t>
        </is>
      </c>
      <c r="I14" s="10" t="inlineStr">
        <is>
          <t>Tiếp đón</t>
        </is>
      </c>
    </row>
    <row r="15">
      <c r="A15" s="10" t="n">
        <v>11</v>
      </c>
      <c r="B15" s="10" t="inlineStr">
        <is>
          <t>XML1</t>
        </is>
      </c>
      <c r="C15" s="10" t="inlineStr">
        <is>
          <t>CAN_NANG_CON</t>
        </is>
      </c>
      <c r="D15" s="10" t="inlineStr">
        <is>
          <t>Làm tròn thành số nguyên</t>
        </is>
      </c>
      <c r="E15" s="10" t="inlineStr">
        <is>
          <t>Trung bình</t>
        </is>
      </c>
      <c r="F15" s="10" t="inlineStr">
        <is>
          <t>XMLComplete_CAN_NANG_CON_THIEU_XML9</t>
        </is>
      </c>
      <c r="G15" s="12" t="n">
        <v>1</v>
      </c>
      <c r="H15" s="10" t="inlineStr">
        <is>
          <t>Kỹ thuật – HIS</t>
        </is>
      </c>
      <c r="I15" s="10" t="inlineStr">
        <is>
          <t>CNTT</t>
        </is>
      </c>
    </row>
    <row r="16">
      <c r="A16" s="10" t="n">
        <v>12</v>
      </c>
      <c r="B16" s="10" t="inlineStr">
        <is>
          <t>XML1</t>
        </is>
      </c>
      <c r="C16" s="10" t="inlineStr">
        <is>
          <t>MA_BENH_CHINH, MA_BENH_KT</t>
        </is>
      </c>
      <c r="D16" s="10" t="inlineStr">
        <is>
          <t>Thay chuỗi con 6 mã: U62.152→M15; A91→A90; I84→K64; N18.0→N18; U58.091→I10; U55.561→G51</t>
        </is>
      </c>
      <c r="E16" s="10" t="inlineStr">
        <is>
          <t>Nghiêm trọng</t>
        </is>
      </c>
      <c r="F16" s="10" t="inlineStr">
        <is>
          <t>XML1_DISEASE_ICD_CODE_ERROR_MA_BENH_CHINH
XML1_DISEASE_ICD_CODE_ERROR_MA_BENH_KT</t>
        </is>
      </c>
      <c r="G16" s="12" t="n">
        <v>4</v>
      </c>
      <c r="H16" s="10" t="inlineStr">
        <is>
          <t>Nghiệp vụ – Chuyên môn lâm sàng</t>
        </is>
      </c>
      <c r="I16" s="10" t="inlineStr">
        <is>
          <t>Khoa lâm sàng</t>
        </is>
      </c>
    </row>
    <row r="17">
      <c r="A17" s="10" t="n">
        <v>13</v>
      </c>
      <c r="B17" s="10" t="inlineStr">
        <is>
          <t>XML1</t>
        </is>
      </c>
      <c r="C17" s="10" t="inlineStr">
        <is>
          <t>MA_BENH_CHINH, MA_BENH_KT</t>
        </is>
      </c>
      <c r="D17" s="10" t="inlineStr">
        <is>
          <t>Đổi sang mã mới (xem sheet "Ma ICD bi doi")</t>
        </is>
      </c>
      <c r="E17" s="10" t="inlineStr">
        <is>
          <t>Nghiêm trọng</t>
        </is>
      </c>
      <c r="F17" s="10" t="inlineStr">
        <is>
          <t>XML1_DISEASE_ICD_CODE_ERROR_MA_BENH_CHINH
XML1_DISEASE_ICD_CODE_ERROR_MA_BENH_KT</t>
        </is>
      </c>
      <c r="G17" s="12" t="n">
        <v>4</v>
      </c>
      <c r="H17" s="10" t="inlineStr">
        <is>
          <t>Nghiệp vụ – Chuyên môn lâm sàng</t>
        </is>
      </c>
      <c r="I17" s="10" t="inlineStr">
        <is>
          <t>Khoa lâm sàng</t>
        </is>
      </c>
    </row>
    <row r="18">
      <c r="A18" s="10" t="n">
        <v>14</v>
      </c>
      <c r="B18" s="10" t="inlineStr">
        <is>
          <t>XML1</t>
        </is>
      </c>
      <c r="C18" s="10" t="inlineStr">
        <is>
          <t>MA_BENH_KT</t>
        </is>
      </c>
      <c r="D18" s="10" t="inlineStr">
        <is>
          <t>Loại bỏ khỏi chuỗi bệnh kèm theo (104 mã, xem sheet "Ma Z bi xoa")</t>
        </is>
      </c>
      <c r="E18" s="10" t="inlineStr">
        <is>
          <t>Cao</t>
        </is>
      </c>
      <c r="F18" s="10" t="inlineStr">
        <is>
          <t>XML1_WARNING_MA_BENH_KT
XML1_WARNING_MA_BENH_CHINH</t>
        </is>
      </c>
      <c r="G18" s="12" t="n">
        <v>3007</v>
      </c>
      <c r="H18" s="10" t="inlineStr">
        <is>
          <t>Nghiệp vụ – Chuyên môn lâm sàng</t>
        </is>
      </c>
      <c r="I18" s="10" t="inlineStr">
        <is>
          <t>Khoa lâm sàng</t>
        </is>
      </c>
    </row>
    <row r="19">
      <c r="A19" s="10" t="n">
        <v>15</v>
      </c>
      <c r="B19" s="10" t="inlineStr">
        <is>
          <t>XML1</t>
        </is>
      </c>
      <c r="C19" s="10" t="inlineStr">
        <is>
          <t>MA_DOITUONG_KCB</t>
        </is>
      </c>
      <c r="D19" s="10" t="inlineStr">
        <is>
          <t>Suy đoán: tỷ lệ T_TONGCHI_BH/T_TONGCHI_BV ≤ 40% → "3"; khoa K02.1/K02.2 → "2"; còn lại → "1"</t>
        </is>
      </c>
      <c r="E19" s="10" t="inlineStr">
        <is>
          <t>Nghiêm trọng</t>
        </is>
      </c>
      <c r="F19" s="10" t="inlineStr">
        <is>
          <t>XML1_ADMIN_INFO_ERROR_MA_DOITUONG_KCB
XML1_DOI_TUONG_KCB_NGOAI_DANH_MUC</t>
        </is>
      </c>
      <c r="G19" s="12" t="n">
        <v>0</v>
      </c>
      <c r="H19" s="10" t="inlineStr">
        <is>
          <t>Nghiệp vụ – Quy định BHYT</t>
        </is>
      </c>
      <c r="I19" s="10" t="inlineStr">
        <is>
          <t>Phòng BHYT</t>
        </is>
      </c>
    </row>
    <row r="20">
      <c r="A20" s="10" t="n">
        <v>16</v>
      </c>
      <c r="B20" s="10" t="inlineStr">
        <is>
          <t>XML1</t>
        </is>
      </c>
      <c r="C20" s="10" t="inlineStr">
        <is>
          <t>PP_DIEU_TRI</t>
        </is>
      </c>
      <c r="D20" s="10" t="inlineStr">
        <is>
          <t>Rỗng → "PP_DIEU_TRI" + hằng BSKhongDienTT; dài → cắt 1296 ký tự + "..."</t>
        </is>
      </c>
      <c r="E20" s="10" t="inlineStr">
        <is>
          <t>Cao</t>
        </is>
      </c>
      <c r="F20" s="10" t="inlineStr">
        <is>
          <t>XML1_SPECIAL_INPATIENT_ERROR_PP_DIEU_TRI</t>
        </is>
      </c>
      <c r="G20" s="12" t="n">
        <v>8</v>
      </c>
      <c r="H20" s="10" t="inlineStr">
        <is>
          <t>Nghiệp vụ – Chuyên môn lâm sàng</t>
        </is>
      </c>
      <c r="I20" s="10" t="inlineStr">
        <is>
          <t>Khoa lâm sàng</t>
        </is>
      </c>
    </row>
    <row r="21">
      <c r="A21" s="10" t="n">
        <v>17</v>
      </c>
      <c r="B21" s="10" t="inlineStr">
        <is>
          <t>XML1</t>
        </is>
      </c>
      <c r="C21" s="10" t="inlineStr">
        <is>
          <t>GIAY_CHUYEN_TUYEN</t>
        </is>
      </c>
      <c r="D21" s="10" t="inlineStr">
        <is>
          <t>Gán số giấy giả "...../20../PCCSKBCB"</t>
        </is>
      </c>
      <c r="E21" s="10" t="inlineStr">
        <is>
          <t>Nghiêm trọng</t>
        </is>
      </c>
      <c r="F21" s="10" t="inlineStr">
        <is>
          <t>XML1_ADMIN_INFO_ERROR_GIAY_CHUYEN_TUYEN
XML1_DOI_TUONG_KCB_THIEU_GIAY_CHUYEN_TUYEN</t>
        </is>
      </c>
      <c r="G21" s="12" t="n">
        <v>14</v>
      </c>
      <c r="H21" s="10" t="inlineStr">
        <is>
          <t>Nghiệp vụ – Quy định BHYT</t>
        </is>
      </c>
      <c r="I21" s="10" t="inlineStr">
        <is>
          <t>Phòng BHYT</t>
        </is>
      </c>
    </row>
    <row r="22">
      <c r="A22" s="10" t="n">
        <v>18</v>
      </c>
      <c r="B22" s="10" t="inlineStr">
        <is>
          <t>XML2</t>
        </is>
      </c>
      <c r="C22" s="10" t="inlineStr">
        <is>
          <t>MA_THUOC, TEN_THUOC</t>
        </is>
      </c>
      <c r="D22" s="10" t="inlineStr">
        <is>
          <t>Gán hằng BHYTConfig.DuocChuaNhapTT</t>
        </is>
      </c>
      <c r="E22" s="10" t="inlineStr">
        <is>
          <t>Cao</t>
        </is>
      </c>
      <c r="F22" s="10" t="inlineStr">
        <is>
          <t>XML2_INVALID_DRUG_CODE
XML2_MISSING_DRUG_NAME</t>
        </is>
      </c>
      <c r="G22" s="12" t="n">
        <v>396</v>
      </c>
      <c r="H22" s="10" t="inlineStr">
        <is>
          <t>Nghiệp vụ – Danh mục</t>
        </is>
      </c>
      <c r="I22" s="10" t="inlineStr">
        <is>
          <t>Khoa Dược</t>
        </is>
      </c>
    </row>
    <row r="23">
      <c r="A23" s="10" t="n">
        <v>19</v>
      </c>
      <c r="B23" s="10" t="inlineStr">
        <is>
          <t>XML2</t>
        </is>
      </c>
      <c r="C23" s="10" t="inlineStr">
        <is>
          <t>MA_THUOC</t>
        </is>
      </c>
      <c r="D23" s="10" t="inlineStr">
        <is>
          <t>Đổi thành "9.4.KTNAT"</t>
        </is>
      </c>
      <c r="E23" s="10" t="inlineStr">
        <is>
          <t>Cao</t>
        </is>
      </c>
      <c r="F23" s="10" t="inlineStr">
        <is>
          <t>XML2_INVALID_DRUG_CODE</t>
        </is>
      </c>
      <c r="G23" s="12" t="n">
        <v>396</v>
      </c>
      <c r="H23" s="10" t="inlineStr">
        <is>
          <t>Nghiệp vụ – Danh mục</t>
        </is>
      </c>
      <c r="I23" s="10" t="inlineStr">
        <is>
          <t>Khoa Dược</t>
        </is>
      </c>
    </row>
    <row r="24">
      <c r="A24" s="10" t="n">
        <v>20</v>
      </c>
      <c r="B24" s="10" t="inlineStr">
        <is>
          <t>XML2</t>
        </is>
      </c>
      <c r="C24" s="10" t="inlineStr">
        <is>
          <t>SO_DANG_KY</t>
        </is>
      </c>
      <c r="D24" s="10" t="inlineStr">
        <is>
          <t>Gán DuocChuaNhapTT</t>
        </is>
      </c>
      <c r="E24" s="10" t="inlineStr">
        <is>
          <t>Trung bình</t>
        </is>
      </c>
      <c r="F24" s="10" t="inlineStr">
        <is>
          <t>Chưa có quy tắc tương ứng</t>
        </is>
      </c>
      <c r="G24" s="12" t="n"/>
      <c r="H24" s="10" t="inlineStr"/>
      <c r="I24" s="10" t="inlineStr"/>
    </row>
    <row r="25">
      <c r="A25" s="10" t="n">
        <v>21</v>
      </c>
      <c r="B25" s="10" t="inlineStr">
        <is>
          <t>XML2</t>
        </is>
      </c>
      <c r="C25" s="10" t="inlineStr">
        <is>
          <t>NGAY_YL</t>
        </is>
      </c>
      <c r="D25" s="10" t="inlineStr">
        <is>
          <t>Kéo NGAY_YL về đúng NGAY_RA / NGAY_VAO</t>
        </is>
      </c>
      <c r="E25" s="10" t="inlineStr">
        <is>
          <t>Nghiêm trọng</t>
        </is>
      </c>
      <c r="F25" s="10" t="inlineStr">
        <is>
          <t>XML2_INVALID_ORDER_TIME</t>
        </is>
      </c>
      <c r="G25" s="12" t="n">
        <v>1</v>
      </c>
      <c r="H25" s="10" t="inlineStr">
        <is>
          <t>Nghiệp vụ – Chuyên môn lâm sàng</t>
        </is>
      </c>
      <c r="I25" s="10" t="inlineStr">
        <is>
          <t>Khoa lâm sàng</t>
        </is>
      </c>
    </row>
    <row r="26">
      <c r="A26" s="10" t="n">
        <v>22</v>
      </c>
      <c r="B26" s="10" t="inlineStr">
        <is>
          <t>XML2</t>
        </is>
      </c>
      <c r="C26" s="10" t="inlineStr">
        <is>
          <t>NGAY_TH_YL</t>
        </is>
      </c>
      <c r="D26" s="10" t="inlineStr">
        <is>
          <t>Gán NGAY_TH_YL = NGAY_YL</t>
        </is>
      </c>
      <c r="E26" s="10" t="inlineStr">
        <is>
          <t>Cao</t>
        </is>
      </c>
      <c r="F26" s="10" t="inlineStr">
        <is>
          <t>Chưa có quy tắc tương ứng</t>
        </is>
      </c>
      <c r="G26" s="12" t="n"/>
      <c r="H26" s="10" t="inlineStr"/>
      <c r="I26" s="10" t="inlineStr"/>
    </row>
    <row r="27">
      <c r="A27" s="10" t="n">
        <v>23</v>
      </c>
      <c r="B27" s="10" t="inlineStr">
        <is>
          <t>XML2</t>
        </is>
      </c>
      <c r="C27" s="10" t="inlineStr">
        <is>
          <t>MA_BAC_SI</t>
        </is>
      </c>
      <c r="D27" s="10" t="inlineStr">
        <is>
          <t>Bỏ "CNTT"; rỗng → gán mã CCHN TRƯỞNG KHOA theo MA_KHOA (xem sheet "Truong khoa gan thay")</t>
        </is>
      </c>
      <c r="E27" s="10" t="inlineStr">
        <is>
          <t>Nghiêm trọng</t>
        </is>
      </c>
      <c r="F27" s="10" t="inlineStr">
        <is>
          <t>XMLComplete_NVYT_THIEU (BS chỉ định XML2)
XMLComplete_NVYT_KHONG_CO_TRONG_DM / _SAI_DINH_DANG (BS chỉ định XML2)</t>
        </is>
      </c>
      <c r="G27" s="12" t="n">
        <v>1423</v>
      </c>
      <c r="H27" s="10" t="inlineStr">
        <is>
          <t>Nghiệp vụ – Danh mục</t>
        </is>
      </c>
      <c r="I27" s="10" t="inlineStr">
        <is>
          <t>Phòng TCCB</t>
        </is>
      </c>
    </row>
    <row r="28">
      <c r="A28" s="10" t="n">
        <v>24</v>
      </c>
      <c r="B28" s="10" t="inlineStr">
        <is>
          <t>XML3</t>
        </is>
      </c>
      <c r="C28" s="10" t="inlineStr">
        <is>
          <t>MA_BENH</t>
        </is>
      </c>
      <c r="D28" s="10" t="inlineStr">
        <is>
          <t>Thay chuỗi con 6 mã ICD như XML1</t>
        </is>
      </c>
      <c r="E28" s="10" t="inlineStr">
        <is>
          <t>Nghiêm trọng</t>
        </is>
      </c>
      <c r="F28" s="10" t="inlineStr">
        <is>
          <t>XML3_INFO_ERROR_MA_BENH_INVALID</t>
        </is>
      </c>
      <c r="G28" s="12" t="n">
        <v>1</v>
      </c>
      <c r="H28" s="10" t="inlineStr">
        <is>
          <t>Nghiệp vụ – Chuyên môn lâm sàng</t>
        </is>
      </c>
      <c r="I28" s="10" t="inlineStr">
        <is>
          <t>Khoa lâm sàng</t>
        </is>
      </c>
    </row>
    <row r="29">
      <c r="A29" s="10" t="n">
        <v>25</v>
      </c>
      <c r="B29" s="10" t="inlineStr">
        <is>
          <t>XML3</t>
        </is>
      </c>
      <c r="C29" s="10" t="inlineStr">
        <is>
          <t>MA_GIUONG</t>
        </is>
      </c>
      <c r="D29" s="10" t="inlineStr">
        <is>
          <t>Đổi thành H017</t>
        </is>
      </c>
      <c r="E29" s="10" t="inlineStr">
        <is>
          <t>Cao</t>
        </is>
      </c>
      <c r="F29" s="10" t="inlineStr">
        <is>
          <t>XML3_INVALID_BED_CODE_FORMAT</t>
        </is>
      </c>
      <c r="G29" s="12" t="n">
        <v>0</v>
      </c>
      <c r="H29" s="10" t="inlineStr">
        <is>
          <t>Nghiệp vụ – Quy định BHYT</t>
        </is>
      </c>
      <c r="I29" s="10" t="inlineStr">
        <is>
          <t>Phòng BHYT</t>
        </is>
      </c>
    </row>
    <row r="30">
      <c r="A30" s="10" t="n">
        <v>26</v>
      </c>
      <c r="B30" s="10" t="inlineStr">
        <is>
          <t>XML3</t>
        </is>
      </c>
      <c r="C30" s="10" t="inlineStr">
        <is>
          <t>MA_VAT_TU, TEN_VAT_TU (nhóm 10)</t>
        </is>
      </c>
      <c r="D30" s="10" t="inlineStr">
        <is>
          <t>Gán hằng BHYTConfig.PVTChuaNhapTT</t>
        </is>
      </c>
      <c r="E30" s="10" t="inlineStr">
        <is>
          <t>Cao</t>
        </is>
      </c>
      <c r="F30" s="10" t="inlineStr">
        <is>
          <t>XML3_MISSING_MATERIAL_CODE
XML3_MISSING_MATERIAL_NAME</t>
        </is>
      </c>
      <c r="G30" s="12" t="n">
        <v>58</v>
      </c>
      <c r="H30" s="10" t="inlineStr">
        <is>
          <t>Kỹ thuật – HIS</t>
        </is>
      </c>
      <c r="I30" s="10" t="inlineStr">
        <is>
          <t>CNTT</t>
        </is>
      </c>
    </row>
    <row r="31">
      <c r="A31" s="10" t="n">
        <v>27</v>
      </c>
      <c r="B31" s="10" t="inlineStr">
        <is>
          <t>XML3</t>
        </is>
      </c>
      <c r="C31" s="10" t="inlineStr">
        <is>
          <t>GOI_VTYT, MA_DICH_VU, TEN_DICH_VU (nhóm 10)</t>
        </is>
      </c>
      <c r="D31" s="10" t="inlineStr">
        <is>
          <t>Xoá cả 3 trường</t>
        </is>
      </c>
      <c r="E31" s="10" t="inlineStr">
        <is>
          <t>Nghiêm trọng</t>
        </is>
      </c>
      <c r="F31" s="10" t="inlineStr">
        <is>
          <t>Chưa có quy tắc tương ứng</t>
        </is>
      </c>
      <c r="G31" s="12" t="n"/>
      <c r="H31" s="10" t="inlineStr"/>
      <c r="I31" s="10" t="inlineStr"/>
    </row>
    <row r="32">
      <c r="A32" s="10" t="n">
        <v>28</v>
      </c>
      <c r="B32" s="10" t="inlineStr">
        <is>
          <t>XML3</t>
        </is>
      </c>
      <c r="C32" s="10" t="inlineStr">
        <is>
          <t>TAI_SU_DUNG (nhóm 10)</t>
        </is>
      </c>
      <c r="D32" s="10" t="inlineStr">
        <is>
          <t>Xoá cờ tái sử dụng</t>
        </is>
      </c>
      <c r="E32" s="10" t="inlineStr">
        <is>
          <t>Nghiêm trọng</t>
        </is>
      </c>
      <c r="F32" s="10" t="inlineStr">
        <is>
          <t>XML3_TAI_SU_DUNG_DON_GIA_LECH</t>
        </is>
      </c>
      <c r="G32" s="12" t="n">
        <v>0</v>
      </c>
      <c r="H32" s="10" t="inlineStr">
        <is>
          <t>Kỹ thuật – HIS</t>
        </is>
      </c>
      <c r="I32" s="10" t="inlineStr">
        <is>
          <t>CNTT</t>
        </is>
      </c>
    </row>
    <row r="33">
      <c r="A33" s="10" t="n">
        <v>29</v>
      </c>
      <c r="B33" s="10" t="inlineStr">
        <is>
          <t>XML3</t>
        </is>
      </c>
      <c r="C33" s="10" t="inlineStr">
        <is>
          <t>MA_VAT_TU (DVKT y học hạt nhân)</t>
        </is>
      </c>
      <c r="D33" s="10" t="inlineStr">
        <is>
          <t>Gán CỨNG mã "40P.xx" (+ "40P.52") theo từng DVKT – xem sheet "Ma VT gan cung"</t>
        </is>
      </c>
      <c r="E33" s="10" t="inlineStr">
        <is>
          <t>Nghiêm trọng</t>
        </is>
      </c>
      <c r="F33" s="10" t="inlineStr">
        <is>
          <t>Chưa có quy tắc tương ứng</t>
        </is>
      </c>
      <c r="G33" s="12" t="n"/>
      <c r="H33" s="10" t="inlineStr"/>
      <c r="I33" s="10" t="inlineStr"/>
    </row>
    <row r="34">
      <c r="A34" s="10" t="n">
        <v>30</v>
      </c>
      <c r="B34" s="10" t="inlineStr">
        <is>
          <t>XML3</t>
        </is>
      </c>
      <c r="C34" s="10" t="inlineStr">
        <is>
          <t>NGAY_YL</t>
        </is>
      </c>
      <c r="D34" s="10" t="inlineStr">
        <is>
          <t>Kéo về NGAY_RA / NGAY_VAO</t>
        </is>
      </c>
      <c r="E34" s="10" t="inlineStr">
        <is>
          <t>Nghiêm trọng</t>
        </is>
      </c>
      <c r="F34" s="10" t="inlineStr">
        <is>
          <t>XML3_INVALID_ORDER_TIME</t>
        </is>
      </c>
      <c r="G34" s="12" t="n">
        <v>7</v>
      </c>
      <c r="H34" s="10" t="inlineStr">
        <is>
          <t>Nghiệp vụ – Chuyên môn lâm sàng</t>
        </is>
      </c>
      <c r="I34" s="10" t="inlineStr">
        <is>
          <t>Khoa lâm sàng</t>
        </is>
      </c>
    </row>
    <row r="35">
      <c r="A35" s="10" t="n">
        <v>31</v>
      </c>
      <c r="B35" s="10" t="inlineStr">
        <is>
          <t>XML3</t>
        </is>
      </c>
      <c r="C35" s="10" t="inlineStr">
        <is>
          <t>MA_BAC_SI</t>
        </is>
      </c>
      <c r="D35" s="10" t="inlineStr">
        <is>
          <t>Bỏ "CNTT"; rỗng → CCHN trưởng khoa</t>
        </is>
      </c>
      <c r="E35" s="10" t="inlineStr">
        <is>
          <t>Nghiêm trọng</t>
        </is>
      </c>
      <c r="F35" s="10" t="inlineStr">
        <is>
          <t>XMLComplete_NVYT_THIEU (BS chỉ định XML3)
XMLComplete_NVYT_KHONG_CO_TRONG_DM / _SAI_DINH_DANG (BS chỉ định XML3)</t>
        </is>
      </c>
      <c r="G35" s="12" t="n">
        <v>2998</v>
      </c>
      <c r="H35" s="10" t="inlineStr">
        <is>
          <t>Nghiệp vụ – Danh mục</t>
        </is>
      </c>
      <c r="I35" s="10" t="inlineStr">
        <is>
          <t>Phòng TCCB</t>
        </is>
      </c>
    </row>
    <row r="36">
      <c r="A36" s="10" t="n">
        <v>32</v>
      </c>
      <c r="B36" s="10" t="inlineStr">
        <is>
          <t>XML3</t>
        </is>
      </c>
      <c r="C36" s="10" t="inlineStr">
        <is>
          <t>NGAY_KQ</t>
        </is>
      </c>
      <c r="D36" s="10" t="inlineStr">
        <is>
          <t>Gán = giờ xuất file − 3 phút, hoặc = NGAY_YL</t>
        </is>
      </c>
      <c r="E36" s="10" t="inlineStr">
        <is>
          <t>Cao</t>
        </is>
      </c>
      <c r="F36" s="10" t="inlineStr">
        <is>
          <t>XML3_INVALID_NGAY_KQ
XML3_NGAY_KQ_GREATER_NGAY_RA
XML3_INVALID_NGAY_KQ_LESSTHEN_NGAY_YL</t>
        </is>
      </c>
      <c r="G36" s="12" t="n">
        <v>2270</v>
      </c>
      <c r="H36" s="10" t="inlineStr">
        <is>
          <t>Kỹ thuật – Tích hợp HIS–PACS/LIS</t>
        </is>
      </c>
      <c r="I36" s="10" t="inlineStr">
        <is>
          <t>CNTT</t>
        </is>
      </c>
    </row>
    <row r="37">
      <c r="A37" s="10" t="n">
        <v>33</v>
      </c>
      <c r="B37" s="10" t="inlineStr">
        <is>
          <t>XML3</t>
        </is>
      </c>
      <c r="C37" s="10" t="inlineStr">
        <is>
          <t>NGAY_TH_YL</t>
        </is>
      </c>
      <c r="D37" s="10" t="inlineStr">
        <is>
          <t>Gán = giờ xuất − 3 phút, hoặc = NGAY_YL</t>
        </is>
      </c>
      <c r="E37" s="10" t="inlineStr">
        <is>
          <t>Cao</t>
        </is>
      </c>
      <c r="F37" s="10" t="inlineStr">
        <is>
          <t>XML3_NGAY_TH_YL_EQUALS_NGAY_KQ
XML3_EXECUTION_TIME_UNDER_3MIN</t>
        </is>
      </c>
      <c r="G37" s="12" t="n">
        <v>16251</v>
      </c>
      <c r="H37" s="10" t="inlineStr">
        <is>
          <t>Kỹ thuật – HIS</t>
        </is>
      </c>
      <c r="I37" s="10" t="inlineStr">
        <is>
          <t>CNTT</t>
        </is>
      </c>
    </row>
    <row r="38">
      <c r="A38" s="10" t="n">
        <v>34</v>
      </c>
      <c r="B38" s="10" t="inlineStr">
        <is>
          <t>XML3</t>
        </is>
      </c>
      <c r="C38" s="10" t="inlineStr">
        <is>
          <t>PP_VO_CAM</t>
        </is>
      </c>
      <c r="D38" s="10" t="inlineStr">
        <is>
          <t>Nhóm 8, 18 (PT/TT) → "4"; nhóm khác → rỗng</t>
        </is>
      </c>
      <c r="E38" s="10" t="inlineStr">
        <is>
          <t>Nghiêm trọng</t>
        </is>
      </c>
      <c r="F38" s="10" t="inlineStr">
        <is>
          <t>XML3_INFO_ERROR_PP_VO_CAM_EMPTY</t>
        </is>
      </c>
      <c r="G38" s="12" t="n">
        <v>327</v>
      </c>
      <c r="H38" s="10" t="inlineStr">
        <is>
          <t>Nghiệp vụ – Chuyên môn lâm sàng</t>
        </is>
      </c>
      <c r="I38" s="10" t="inlineStr">
        <is>
          <t>Khoa lâm sàng</t>
        </is>
      </c>
    </row>
    <row r="39">
      <c r="A39" s="10" t="n">
        <v>35</v>
      </c>
      <c r="B39" s="10" t="inlineStr">
        <is>
          <t>XML3</t>
        </is>
      </c>
      <c r="C39" s="10" t="inlineStr">
        <is>
          <t>NGUOI_THUC_HIEN (nhóm 1,2,3,8,18)</t>
        </is>
      </c>
      <c r="D39" s="10" t="inlineStr">
        <is>
          <t>Bỏ "CNTT"; DV khí máu 23.0103.1531 hoặc y lệnh trước 01/07/2024 → gán = MA_BAC_SI (người chỉ định); từ 01/07/2024 → "0000000000"</t>
        </is>
      </c>
      <c r="E39" s="10" t="inlineStr">
        <is>
          <t>Nghiêm trọng</t>
        </is>
      </c>
      <c r="F39" s="10" t="inlineStr">
        <is>
          <t>XMLComplete_NVYT_THIEU (người thực hiện XML3)
XMLComplete_NVYT_KHONG_CO_TRONG_DM / _SAI_DINH_DANG (người thực hiện XML3)
XML3_SAME_DOCTOR_ORDER_AND_EXECUTE</t>
        </is>
      </c>
      <c r="G39" s="12" t="n">
        <v>17970</v>
      </c>
      <c r="H39" s="10" t="inlineStr">
        <is>
          <t>Nghiệp vụ – Danh mục</t>
        </is>
      </c>
      <c r="I39" s="10" t="inlineStr">
        <is>
          <t>Phòng TCCB</t>
        </is>
      </c>
    </row>
    <row r="40">
      <c r="A40" s="10" t="n">
        <v>36</v>
      </c>
      <c r="B40" s="10" t="inlineStr">
        <is>
          <t>XML3</t>
        </is>
      </c>
      <c r="C40" s="10" t="inlineStr">
        <is>
          <t>MA_BENH</t>
        </is>
      </c>
      <c r="D40" s="10" t="inlineStr">
        <is>
          <t>Giữ 13 mã đầu, luôn thêm ";" cuối chuỗi</t>
        </is>
      </c>
      <c r="E40" s="10" t="inlineStr">
        <is>
          <t>Trung bình</t>
        </is>
      </c>
      <c r="F40" s="10" t="inlineStr">
        <is>
          <t>XML3_INFO_ERROR_MA_BENH_TOO_LONG</t>
        </is>
      </c>
      <c r="G40" s="12" t="n">
        <v>0</v>
      </c>
      <c r="H40" s="10" t="inlineStr">
        <is>
          <t>Kỹ thuật – HIS</t>
        </is>
      </c>
      <c r="I40" s="10" t="inlineStr">
        <is>
          <t>CNTT</t>
        </is>
      </c>
    </row>
    <row r="41">
      <c r="A41" s="10" t="n">
        <v>37</v>
      </c>
      <c r="B41" s="10" t="inlineStr">
        <is>
          <t>XML4</t>
        </is>
      </c>
      <c r="C41" s="10" t="inlineStr">
        <is>
          <t>GIA_TRI</t>
        </is>
      </c>
      <c r="D41" s="10" t="inlineStr">
        <is>
          <t>Cắt 47 ký tự + "..."</t>
        </is>
      </c>
      <c r="E41" s="10" t="inlineStr">
        <is>
          <t>Cao</t>
        </is>
      </c>
      <c r="F41" s="10" t="inlineStr">
        <is>
          <t>XML4_INFO_ERROR_GIA_TRI_LENGTH</t>
        </is>
      </c>
      <c r="G41" s="12" t="n">
        <v>2052</v>
      </c>
      <c r="H41" s="10" t="inlineStr">
        <is>
          <t>Kỹ thuật – Tích hợp HIS–LIS</t>
        </is>
      </c>
      <c r="I41" s="10" t="inlineStr">
        <is>
          <t>CNTT</t>
        </is>
      </c>
    </row>
    <row r="42">
      <c r="A42" s="10" t="n">
        <v>38</v>
      </c>
      <c r="B42" s="10" t="inlineStr">
        <is>
          <t>XML4</t>
        </is>
      </c>
      <c r="C42" s="10" t="inlineStr">
        <is>
          <t>NGAY_KQ</t>
        </is>
      </c>
      <c r="D42" s="10" t="inlineStr">
        <is>
          <t>Gán = giờ xuất − 3 phút</t>
        </is>
      </c>
      <c r="E42" s="10" t="inlineStr">
        <is>
          <t>Cao</t>
        </is>
      </c>
      <c r="F42" s="10" t="inlineStr">
        <is>
          <t>XML4_INFO_ERROR_NGAY_KQ
XMLComplete_XML4_NGAY_KQ_MISMATCH_XML3</t>
        </is>
      </c>
      <c r="G42" s="12" t="n">
        <v>3362</v>
      </c>
      <c r="H42" s="10" t="inlineStr">
        <is>
          <t>Kỹ thuật – Tích hợp HIS–PACS/LIS</t>
        </is>
      </c>
      <c r="I42" s="10" t="inlineStr">
        <is>
          <t>CNTT</t>
        </is>
      </c>
    </row>
    <row r="43">
      <c r="A43" s="10" t="n">
        <v>39</v>
      </c>
      <c r="B43" s="10" t="inlineStr">
        <is>
          <t>XML4</t>
        </is>
      </c>
      <c r="C43" s="10" t="inlineStr">
        <is>
          <t>MA_BS_DOC_KQ</t>
        </is>
      </c>
      <c r="D43" s="10" t="inlineStr">
        <is>
          <t>Lấy MA_BAC_SI (người CHỈ ĐỊNH) của dòng XML3 cùng MA_DICH_VU; không thấy → CCHN trưởng khoa</t>
        </is>
      </c>
      <c r="E43" s="10" t="inlineStr">
        <is>
          <t>Nghiêm trọng</t>
        </is>
      </c>
      <c r="F43" s="10" t="inlineStr">
        <is>
          <t>XMLComplete_NVYT_THIEU (BS đọc KQ XML4)
XMLComplete_NVYT_KHONG_CO_TRONG_DM / _SAI_DINH_DANG (BS đọc KQ XML4)</t>
        </is>
      </c>
      <c r="G43" s="12" t="n">
        <v>22717</v>
      </c>
      <c r="H43" s="10" t="inlineStr">
        <is>
          <t>Kỹ thuật – Tích hợp HIS–PACS/LIS</t>
        </is>
      </c>
      <c r="I43" s="10" t="inlineStr">
        <is>
          <t>CNTT</t>
        </is>
      </c>
    </row>
    <row r="44">
      <c r="A44" s="10" t="n">
        <v>40</v>
      </c>
      <c r="B44" s="10" t="inlineStr">
        <is>
          <t>XML4</t>
        </is>
      </c>
      <c r="C44" s="10" t="inlineStr">
        <is>
          <t>KET_LUAN</t>
        </is>
      </c>
      <c r="D44" s="10" t="inlineStr">
        <is>
          <t>Gán "KET_LUAN" + BSKhongDienTT</t>
        </is>
      </c>
      <c r="E44" s="10" t="inlineStr">
        <is>
          <t>Cao</t>
        </is>
      </c>
      <c r="F44" s="10" t="inlineStr">
        <is>
          <t>XML4_INFO_ERROR_KET_LUAN_EMPTY</t>
        </is>
      </c>
      <c r="G44" s="12" t="n">
        <v>1025</v>
      </c>
      <c r="H44" s="10" t="inlineStr">
        <is>
          <t>Kỹ thuật – Tích hợp HIS–PACS</t>
        </is>
      </c>
      <c r="I44" s="10" t="inlineStr">
        <is>
          <t>CNTT</t>
        </is>
      </c>
    </row>
    <row r="45">
      <c r="A45" s="10" t="n">
        <v>41</v>
      </c>
      <c r="B45" s="10" t="inlineStr">
        <is>
          <t>XML5</t>
        </is>
      </c>
      <c r="C45" s="10" t="inlineStr">
        <is>
          <t>THOI_DIEM_DBLS</t>
        </is>
      </c>
      <c r="D45" s="10" t="inlineStr">
        <is>
          <t>Gán = giờ xuất − 3 phút</t>
        </is>
      </c>
      <c r="E45" s="10" t="inlineStr">
        <is>
          <t>Cao</t>
        </is>
      </c>
      <c r="F45" s="10" t="inlineStr">
        <is>
          <t>XML5_INVALID_THOI_DIEM_BDLS</t>
        </is>
      </c>
      <c r="G45" s="12" t="n">
        <v>6</v>
      </c>
      <c r="H45" s="10" t="inlineStr">
        <is>
          <t>Nghiệp vụ – Chuyên môn lâm sàng</t>
        </is>
      </c>
      <c r="I45" s="10" t="inlineStr">
        <is>
          <t>Khoa lâm sàng</t>
        </is>
      </c>
    </row>
    <row r="46">
      <c r="A46" s="10" t="n">
        <v>42</v>
      </c>
      <c r="B46" s="10" t="inlineStr">
        <is>
          <t>XML5</t>
        </is>
      </c>
      <c r="C46" s="10" t="inlineStr">
        <is>
          <t>NGUOI_THUC_HIEN</t>
        </is>
      </c>
      <c r="D46" s="10" t="inlineStr">
        <is>
          <t>Gán CCHN trưởng khoa</t>
        </is>
      </c>
      <c r="E46" s="10" t="inlineStr">
        <is>
          <t>Nghiêm trọng</t>
        </is>
      </c>
      <c r="F46" s="10" t="inlineStr">
        <is>
          <t>XMLComplete_NVYT_THIEU (người thực hiện XML5)</t>
        </is>
      </c>
      <c r="G46" s="12" t="n">
        <v>62</v>
      </c>
      <c r="H46" s="10" t="inlineStr">
        <is>
          <t>Kỹ thuật – HIS</t>
        </is>
      </c>
      <c r="I46" s="10" t="inlineStr">
        <is>
          <t>CNTT</t>
        </is>
      </c>
    </row>
    <row r="47">
      <c r="A47" s="10" t="n">
        <v>43</v>
      </c>
      <c r="B47" s="10" t="inlineStr">
        <is>
          <t>XML7</t>
        </is>
      </c>
      <c r="C47" s="10" t="inlineStr">
        <is>
          <t>MA_BS, TEN_BS</t>
        </is>
      </c>
      <c r="D47" s="10" t="inlineStr">
        <is>
          <t>Gán mã CCHN + HỌ TÊN trưởng khoa ra viện</t>
        </is>
      </c>
      <c r="E47" s="10" t="inlineStr">
        <is>
          <t>Nghiêm trọng</t>
        </is>
      </c>
      <c r="F47" s="10" t="inlineStr">
        <is>
          <t>XMLComplete_NVYT_THIEU (BS chỉ định XML7)
XMLComplete_NVYT_KHONG_CO_TRONG_DM / _SAI_DINH_DANG (BS chỉ định XML7)</t>
        </is>
      </c>
      <c r="G47" s="12" t="n">
        <v>169</v>
      </c>
      <c r="H47" s="10" t="inlineStr">
        <is>
          <t>Nghiệp vụ – Danh mục</t>
        </is>
      </c>
      <c r="I47" s="10" t="inlineStr">
        <is>
          <t>Phòng TCCB</t>
        </is>
      </c>
    </row>
    <row r="48">
      <c r="A48" s="10" t="n">
        <v>44</v>
      </c>
      <c r="B48" s="10" t="inlineStr">
        <is>
          <t>XML7</t>
        </is>
      </c>
      <c r="C48" s="10" t="inlineStr">
        <is>
          <t>PP_DIEUTRI, CHAN_DOAN_RV</t>
        </is>
      </c>
      <c r="D48" s="10" t="inlineStr">
        <is>
          <t>Rỗng → tên trường + BSKhongDienTT; dài → cắt 745 + "..."</t>
        </is>
      </c>
      <c r="E48" s="10" t="inlineStr">
        <is>
          <t>Cao</t>
        </is>
      </c>
      <c r="F48" s="10" t="inlineStr">
        <is>
          <t>XML7_INFO_ERROR_PP_DIEUTRI</t>
        </is>
      </c>
      <c r="G48" s="12" t="n">
        <v>984</v>
      </c>
      <c r="H48" s="10" t="inlineStr">
        <is>
          <t>Nghiệp vụ – Chuyên môn lâm sàng</t>
        </is>
      </c>
      <c r="I48" s="10" t="inlineStr">
        <is>
          <t>Khoa lâm sàng</t>
        </is>
      </c>
    </row>
    <row r="49">
      <c r="A49" s="10" t="n">
        <v>45</v>
      </c>
      <c r="B49" s="10" t="inlineStr">
        <is>
          <t>XML7</t>
        </is>
      </c>
      <c r="C49" s="10" t="inlineStr">
        <is>
          <t>MA_TTDV</t>
        </is>
      </c>
      <c r="D49" s="10" t="inlineStr">
        <is>
          <t>Ghi đè theo cơ sở; BVBM: khác mã cấu hình → CCHN trưởng khoa theo XML1.MA_KHOA</t>
        </is>
      </c>
      <c r="E49" s="10" t="inlineStr">
        <is>
          <t>Cao</t>
        </is>
      </c>
      <c r="F49" s="10" t="inlineStr">
        <is>
          <t>XMLComplete_NVYT_THIEU (thủ trưởng đơn vị XML7)
XMLComplete_NVYT_KHONG_CO_TRONG_DM / _SAI_DINH_DANG (thủ trưởng đơn vị XML7)</t>
        </is>
      </c>
      <c r="G49" s="12" t="n">
        <v>28</v>
      </c>
      <c r="H49" s="10" t="inlineStr">
        <is>
          <t>Kỹ thuật – HIS</t>
        </is>
      </c>
      <c r="I49" s="10" t="inlineStr">
        <is>
          <t>CNTT</t>
        </is>
      </c>
    </row>
    <row r="50">
      <c r="A50" s="10" t="n">
        <v>46</v>
      </c>
      <c r="B50" s="10" t="inlineStr">
        <is>
          <t>XML8</t>
        </is>
      </c>
      <c r="C50" s="10" t="inlineStr">
        <is>
          <t>MA_TTDV</t>
        </is>
      </c>
      <c r="D50" s="10" t="inlineStr">
        <is>
          <t>Như XML7</t>
        </is>
      </c>
      <c r="E50" s="10" t="inlineStr">
        <is>
          <t>Cao</t>
        </is>
      </c>
      <c r="F50" s="10" t="inlineStr">
        <is>
          <t>XMLComplete_NVYT_THIEU (thủ trưởng đơn vị XML8)
XMLComplete_NVYT_KHONG_CO_TRONG_DM / _SAI_DINH_DANG (thủ trưởng đơn vị XML8)</t>
        </is>
      </c>
      <c r="G50" s="12" t="n">
        <v>28</v>
      </c>
      <c r="H50" s="10" t="inlineStr">
        <is>
          <t>Kỹ thuật – HIS</t>
        </is>
      </c>
      <c r="I50" s="10" t="inlineStr">
        <is>
          <t>CNTT</t>
        </is>
      </c>
    </row>
    <row r="51">
      <c r="A51" s="10" t="n">
        <v>47</v>
      </c>
      <c r="B51" s="10" t="inlineStr">
        <is>
          <t>XML8</t>
        </is>
      </c>
      <c r="C51" s="10" t="inlineStr">
        <is>
          <t>PP_DIEUTRI, QT_BENHLY, TOMTAT_KQ, CHAN_DOAN_RV</t>
        </is>
      </c>
      <c r="D51" s="10" t="inlineStr">
        <is>
          <t>Rỗng → tên trường + BSKhongDienTT; QT_BENHLY, TOMTAT_KQ ≥ 1500 → cắt 1296; CHAN_DOAN_RV ≥ 1296 → cắt 1296</t>
        </is>
      </c>
      <c r="E51" s="10" t="inlineStr">
        <is>
          <t>Cao</t>
        </is>
      </c>
      <c r="F51" s="10" t="inlineStr">
        <is>
          <t>XML8_INFO_ERROR_PP_DIEUTRI
XML8_INFO_ERROR_TOMTAT_KQ
XML8_TOMTAT_KQ_TOO_SHORT</t>
        </is>
      </c>
      <c r="G51" s="12" t="n">
        <v>9054</v>
      </c>
      <c r="H51" s="10" t="inlineStr">
        <is>
          <t>Nghiệp vụ – Chuyên môn lâm sàng</t>
        </is>
      </c>
      <c r="I51" s="10" t="inlineStr">
        <is>
          <t>Khoa lâm sàng</t>
        </is>
      </c>
    </row>
    <row r="52">
      <c r="A52" s="10" t="n">
        <v>48</v>
      </c>
      <c r="B52" s="10" t="inlineStr">
        <is>
          <t>XML8</t>
        </is>
      </c>
      <c r="C52" s="10" t="inlineStr">
        <is>
          <t>KET_QUA_DTRI</t>
        </is>
      </c>
      <c r="D52" s="10" t="inlineStr">
        <is>
          <t>Rỗng → "3"; giá trị 1 ký tự ("1" Khỏi, "2" Đỡ, "4" Nặng hơn, "5" Tử vong…) cũng bị ép thành "3"</t>
        </is>
      </c>
      <c r="E52" s="10" t="inlineStr">
        <is>
          <t>Nghiêm trọng</t>
        </is>
      </c>
      <c r="F52" s="10" t="inlineStr">
        <is>
          <t>XML8_INFO_ERROR_KET_QUA_DTRI</t>
        </is>
      </c>
      <c r="G52" s="12" t="n">
        <v>0</v>
      </c>
      <c r="H52" s="10" t="inlineStr">
        <is>
          <t>Nghiệp vụ – Chuyên môn lâm sàng</t>
        </is>
      </c>
      <c r="I52" s="10" t="inlineStr">
        <is>
          <t>Khoa lâm sàng</t>
        </is>
      </c>
    </row>
    <row r="53">
      <c r="A53" s="10" t="n">
        <v>49</v>
      </c>
      <c r="B53" s="10" t="inlineStr">
        <is>
          <t>XML9</t>
        </is>
      </c>
      <c r="C53" s="10" t="inlineStr">
        <is>
          <t>MA_TTDV</t>
        </is>
      </c>
      <c r="D53" s="10" t="inlineStr">
        <is>
          <t>Như XML7</t>
        </is>
      </c>
      <c r="E53" s="10" t="inlineStr">
        <is>
          <t>Cao</t>
        </is>
      </c>
      <c r="F53" s="10" t="inlineStr">
        <is>
          <t>Chưa có quy tắc tương ứng</t>
        </is>
      </c>
      <c r="G53" s="12" t="n"/>
      <c r="H53" s="10" t="inlineStr"/>
      <c r="I53" s="10" t="inlineStr"/>
    </row>
    <row r="54">
      <c r="A54" s="10" t="n">
        <v>50</v>
      </c>
      <c r="B54" s="10" t="inlineStr">
        <is>
          <t>XML9</t>
        </is>
      </c>
      <c r="C54" s="10" t="inlineStr">
        <is>
          <t>CAN_NANG_CON</t>
        </is>
      </c>
      <c r="D54" s="10" t="inlineStr">
        <is>
          <t>Gán "3000" (gam)</t>
        </is>
      </c>
      <c r="E54" s="10" t="inlineStr">
        <is>
          <t>Nghiêm trọng</t>
        </is>
      </c>
      <c r="F54" s="10" t="inlineStr">
        <is>
          <t>Chưa có quy tắc tương ứng</t>
        </is>
      </c>
      <c r="G54" s="12" t="n"/>
      <c r="H54" s="10" t="inlineStr"/>
      <c r="I54" s="10" t="inlineStr"/>
    </row>
    <row r="55">
      <c r="A55" s="10" t="n">
        <v>51</v>
      </c>
      <c r="B55" s="10" t="inlineStr">
        <is>
          <t>XML11</t>
        </is>
      </c>
      <c r="C55" s="10" t="inlineStr">
        <is>
          <t>DU_PHONG</t>
        </is>
      </c>
      <c r="D55" s="10" t="inlineStr">
        <is>
          <t>Ghi toàn bộ XML của bản ghi vào DU_PHONG</t>
        </is>
      </c>
      <c r="E55" s="10" t="inlineStr">
        <is>
          <t>Trung bình</t>
        </is>
      </c>
      <c r="F55" s="10" t="inlineStr">
        <is>
          <t>Chưa có quy tắc tương ứng</t>
        </is>
      </c>
      <c r="G55" s="12" t="n"/>
      <c r="H55" s="10" t="inlineStr"/>
      <c r="I55" s="10" t="inlineStr"/>
    </row>
    <row r="56">
      <c r="A56" s="10" t="n">
        <v>52</v>
      </c>
      <c r="B56" s="10" t="inlineStr">
        <is>
          <t>XML11</t>
        </is>
      </c>
      <c r="C56" s="10" t="inlineStr">
        <is>
          <t>PP_DIEUTRI</t>
        </is>
      </c>
      <c r="D56" s="10" t="inlineStr">
        <is>
          <t>Tên trường + BSKhongDienTT</t>
        </is>
      </c>
      <c r="E56" s="10" t="inlineStr">
        <is>
          <t>Cao</t>
        </is>
      </c>
      <c r="F56" s="10" t="inlineStr">
        <is>
          <t>XML11_INFO_ERROR_PP_DIEUTRI</t>
        </is>
      </c>
      <c r="G56" s="12" t="n">
        <v>30</v>
      </c>
      <c r="H56" s="10" t="inlineStr">
        <is>
          <t>Nghiệp vụ – Chuyên môn lâm sàng</t>
        </is>
      </c>
      <c r="I56" s="10" t="inlineStr">
        <is>
          <t>Khoa lâm sàng</t>
        </is>
      </c>
    </row>
    <row r="57">
      <c r="A57" s="10" t="n">
        <v>53</v>
      </c>
      <c r="B57" s="10" t="inlineStr">
        <is>
          <t>XML11</t>
        </is>
      </c>
      <c r="C57" s="10" t="inlineStr">
        <is>
          <t>MA_BS</t>
        </is>
      </c>
      <c r="D57" s="10" t="inlineStr">
        <is>
          <t>CCHN trưởng khoa</t>
        </is>
      </c>
      <c r="E57" s="10" t="inlineStr">
        <is>
          <t>Nghiêm trọng</t>
        </is>
      </c>
      <c r="F57" s="10" t="inlineStr">
        <is>
          <t>XMLComplete_NVYT_KHONG_CO_TRONG_DM / _SAI_DINH_DANG (BS chỉ định XML11)</t>
        </is>
      </c>
      <c r="G57" s="12" t="n">
        <v>8</v>
      </c>
      <c r="H57" s="10" t="inlineStr">
        <is>
          <t>Nghiệp vụ – Danh mục</t>
        </is>
      </c>
      <c r="I57" s="10" t="inlineStr">
        <is>
          <t>Phòng TCCB</t>
        </is>
      </c>
    </row>
    <row r="58">
      <c r="A58" s="10" t="n">
        <v>54</v>
      </c>
      <c r="B58" s="10" t="inlineStr">
        <is>
          <t>XML13</t>
        </is>
      </c>
      <c r="C58" s="10" t="inlineStr">
        <is>
          <t>MA_BENH_CHINH, MA_BENH_KT</t>
        </is>
      </c>
      <c r="D58" s="10" t="inlineStr">
        <is>
          <t>Như XML1 (6 mã + bảng 27 mã + lọc Z)</t>
        </is>
      </c>
      <c r="E58" s="10" t="inlineStr">
        <is>
          <t>Nghiêm trọng</t>
        </is>
      </c>
      <c r="F58" s="10" t="inlineStr">
        <is>
          <t>XML13_INFO_ERROR_MA_BENH_CHINH_NOT_FOUND
XML13_INFO_ERROR_MA_BENH_KT_NOT_FOUND</t>
        </is>
      </c>
      <c r="G58" s="12" t="n">
        <v>1</v>
      </c>
      <c r="H58" s="10" t="inlineStr">
        <is>
          <t>Nghiệp vụ – Chuyên môn lâm sàng</t>
        </is>
      </c>
      <c r="I58" s="10" t="inlineStr">
        <is>
          <t>Khoa lâm sàng</t>
        </is>
      </c>
    </row>
    <row r="59">
      <c r="A59" s="10" t="n">
        <v>55</v>
      </c>
      <c r="B59" s="10" t="inlineStr">
        <is>
          <t>XML13</t>
        </is>
      </c>
      <c r="C59" s="10" t="inlineStr">
        <is>
          <t>MA_TTDV</t>
        </is>
      </c>
      <c r="D59" s="10" t="inlineStr">
        <is>
          <t>Như XML7</t>
        </is>
      </c>
      <c r="E59" s="10" t="inlineStr">
        <is>
          <t>Cao</t>
        </is>
      </c>
      <c r="F59" s="10" t="inlineStr">
        <is>
          <t>XMLComplete_NVYT_THIEU (thủ trưởng đơn vị XML13)
XMLComplete_NVYT_KHONG_CO_TRONG_DM / _SAI_DINH_DANG (thủ trưởng đơn vị XML13)</t>
        </is>
      </c>
      <c r="G59" s="12" t="n">
        <v>8</v>
      </c>
      <c r="H59" s="10" t="inlineStr">
        <is>
          <t>Nghiệp vụ – Danh mục</t>
        </is>
      </c>
      <c r="I59" s="10" t="inlineStr">
        <is>
          <t>Phòng TCCB</t>
        </is>
      </c>
    </row>
    <row r="60">
      <c r="A60" s="10" t="n">
        <v>56</v>
      </c>
      <c r="B60" s="10" t="inlineStr">
        <is>
          <t>XML13</t>
        </is>
      </c>
      <c r="C60" s="10" t="inlineStr">
        <is>
          <t>TOMTAT_KQ, QT_BENHLY, DAU_HIEU_LS</t>
        </is>
      </c>
      <c r="D60" s="10" t="inlineStr">
        <is>
          <t>Rỗng → tên trường + BSKhongDienTT; dài → cắt 2997 + "..."</t>
        </is>
      </c>
      <c r="E60" s="10" t="inlineStr">
        <is>
          <t>Cao</t>
        </is>
      </c>
      <c r="F60" s="10" t="inlineStr">
        <is>
          <t>XML13_INFO_ERROR_TOMTAT_KQ
XML13_INFO_ERROR_QT_BENHLY
XML13_INFO_ERROR_DAU_HIEU_LS</t>
        </is>
      </c>
      <c r="G60" s="12" t="n">
        <v>0</v>
      </c>
      <c r="H60" s="10" t="inlineStr">
        <is>
          <t>Nghiệp vụ – Chuyên môn lâm sàng</t>
        </is>
      </c>
      <c r="I60" s="10" t="inlineStr">
        <is>
          <t>Khoa lâm sàng</t>
        </is>
      </c>
    </row>
    <row r="61">
      <c r="A61" s="10" t="n">
        <v>57</v>
      </c>
      <c r="B61" s="10" t="inlineStr">
        <is>
          <t>XML14</t>
        </is>
      </c>
      <c r="C61" s="10" t="inlineStr">
        <is>
          <t>MA_BENH_CHINH, MA_BENH_KT</t>
        </is>
      </c>
      <c r="D61" s="10" t="inlineStr">
        <is>
          <t>Như XML1</t>
        </is>
      </c>
      <c r="E61" s="10" t="inlineStr">
        <is>
          <t>Nghiêm trọng</t>
        </is>
      </c>
      <c r="F61" s="10" t="inlineStr">
        <is>
          <t>Chưa có quy tắc tương ứng</t>
        </is>
      </c>
      <c r="G61" s="12" t="n"/>
      <c r="H61" s="10" t="inlineStr"/>
      <c r="I61" s="10" t="inlineStr"/>
    </row>
    <row r="62">
      <c r="A62" s="10" t="n">
        <v>58</v>
      </c>
      <c r="B62" s="10" t="inlineStr">
        <is>
          <t>XML14</t>
        </is>
      </c>
      <c r="C62" s="10" t="inlineStr">
        <is>
          <t>MA_TTDV</t>
        </is>
      </c>
      <c r="D62" s="10" t="inlineStr">
        <is>
          <t>Như XML7</t>
        </is>
      </c>
      <c r="E62" s="10" t="inlineStr">
        <is>
          <t>Cao</t>
        </is>
      </c>
      <c r="F62" s="10" t="inlineStr">
        <is>
          <t>XMLComplete_NVYT_THIEU (thủ trưởng đơn vị XML14)
XMLComplete_NVYT_KHONG_CO_TRONG_DM / _SAI_DINH_DANG (thủ trưởng đơn vị XML14)</t>
        </is>
      </c>
      <c r="G62" s="12" t="n">
        <v>1048</v>
      </c>
      <c r="H62" s="10" t="inlineStr">
        <is>
          <t>Kỹ thuật – HIS</t>
        </is>
      </c>
      <c r="I62" s="10" t="inlineStr">
        <is>
          <t>CNTT</t>
        </is>
      </c>
    </row>
    <row r="63">
      <c r="A63" s="10" t="n">
        <v>59</v>
      </c>
      <c r="B63" s="10" t="inlineStr">
        <is>
          <t>XML14</t>
        </is>
      </c>
      <c r="C63" s="10" t="inlineStr">
        <is>
          <t>NGAY_HEN_KL</t>
        </is>
      </c>
      <c r="D63" s="10" t="inlineStr">
        <is>
          <t>Cộng thêm 1 ngày</t>
        </is>
      </c>
      <c r="E63" s="10" t="inlineStr">
        <is>
          <t>Nghiêm trọng</t>
        </is>
      </c>
      <c r="F63" s="10" t="inlineStr">
        <is>
          <t>XML14_INFO_ERROR_NGAY_HEN_KL_SMALLER_NGAY_RA</t>
        </is>
      </c>
      <c r="G63" s="12" t="n">
        <v>446</v>
      </c>
      <c r="H63" s="10" t="inlineStr">
        <is>
          <t>Nghiệp vụ – Chuyên môn lâm sàng</t>
        </is>
      </c>
      <c r="I63" s="10" t="inlineStr">
        <is>
          <t>Khoa lâm sàng</t>
        </is>
      </c>
    </row>
  </sheetData>
  <autoFilter ref="A4:I63"/>
  <conditionalFormatting sqref="F5:F63">
    <cfRule type="expression" priority="1" dxfId="4">
      <formula>$F5="Chưa có quy tắc tương ứng"</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5" t="inlineStr">
        <is>
          <t>CÁCH ĐỌC VÀ PHÂN LOẠI</t>
        </is>
      </c>
    </row>
    <row r="2">
      <c r="A2" s="16" t="inlineStr">
        <is>
          <t>• Nguồn số liệu: chạy lại bộ kiểm hiện tại (commit 63e21fa8) ở chế độ chỉ đọc trên CSDL thật ngày 16/10/2026 cho TOÀN BỘ 68.213 hồ sơ nạp từ 01/09/2026 (0 hồ sơ lỗi chạy); mã lỗi đang tắt kiểm (is_check = 0) bị loại như khi ghi thật. Cột P sheet "Danh mục lỗi" giữ số của bản 14/10/2026 để so sánh.</t>
        </is>
      </c>
    </row>
    <row r="3">
      <c r="A3" s="16" t="inlineStr">
        <is>
          <t>• Không dùng bảng lỗi đã ghi: bảng đó chứa kết quả của nhiều phiên bản quy tắc khác nhau. Kiểm lại toàn bộ cho số liệu đồng nhất theo quy tắc hiện hành; hồ sơ đã sửa và nạp lại được kiểm theo dữ liệu mới nhất.</t>
        </is>
      </c>
    </row>
    <row r="4">
      <c r="A4" s="16" t="inlineStr">
        <is>
          <t>• "Chặn gửi" = lỗi xuất toán (critical): hồ sơ không được xuất, ký, gửi cổng. "Không" = cảnh báo, vẫn gửi nhưng có nguy cơ bị BHXH giảm trừ.</t>
        </is>
      </c>
    </row>
    <row r="5">
      <c r="A5" s="16" t="inlineStr">
        <is>
          <t>• Nhóm lớn: Nghiệp vụ = lỗi do người nhập/quy trình/danh mục; Kỹ thuật = lỗi do HIS, kết nối PACS/LIS/thiết bị, hoặc phần mềm kiểm.</t>
        </is>
      </c>
    </row>
    <row r="6">
      <c r="A6" s="16" t="inlineStr">
        <is>
          <t>• Danh mục được xếp vào Nghiệp vụ vì đơn vị chủ quản danh mục (Dược, VT-TBYT, KHTH, TCKT, TCCB) phải sửa; CNTT chỉ phối hợp nạp.</t>
        </is>
      </c>
    </row>
    <row r="7">
      <c r="A7" s="16" t="inlineStr">
        <is>
          <t>• Một lỗi có thể có nhiều nguyên nhân; bảng ghi nguyên nhân chính quan sát được trên dữ liệu thật, đơn vị phối hợp ghi ở cột riêng.</t>
        </is>
      </c>
    </row>
    <row r="8">
      <c r="A8" s="16" t="inlineStr">
        <is>
          <t>• Thay đổi quy tắc từ bản 14/10: gộp 34 mã NVYT thành 3 mã XMLComplete_NVYT_* (thiếu / không có trong DM / sai định dạng); gộp mã + tên chỉ số trống thành XML4_CHI_SO_EMPTY; thiếu mã máy căn cứ danh mục DVKT cần mã máy (bỏ lọc theo nhóm 1/2/3); thêm quy tắc vật phẩm kèm DVKT, thời gian thực hiện dài bất thường; bỏ báo trùng giữa quy tắc cũ và mới; tắt kiểm một số mã (vd. XML2_INVALID_DON_VI_TINH). Vì kiểm lại toàn bộ nên số liệu có thể TĂNG ở mã có quy tắc mới/mở rộng.</t>
        </is>
      </c>
    </row>
    <row r="9">
      <c r="A9" s="16" t="inlineStr">
        <is>
          <t>• Cột FIXERROR: số quy tắc trong tệp phân tích hệ thống khác – nơi lỗi đó bị tự sửa trên bản gửi cổng thay vì sửa tại nguồn.</t>
        </is>
      </c>
    </row>
    <row r="10">
      <c r="A10" s="16" t="inlineStr">
        <is>
          <t>• Dòng chữ xám = mã lỗi chưa phát sinh trong kỳ.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2026-10-14T05:23:59Z</dcterms:created>
  <dcterms:modified xsi:type="dcterms:W3CDTF">2026-10-16T02:04:39Z</dcterms:modified>
</cp:coreProperties>
</file>