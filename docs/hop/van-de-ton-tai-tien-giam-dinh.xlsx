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ấn đề tồn tại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Danh mục" sheetId="3" state="visible" r:id="rId3"/>
    <sheet xmlns:r="http://schemas.openxmlformats.org/officeDocument/2006/relationships" name="Hướng dẫn" sheetId="4" state="visible" r:id="rId4"/>
  </sheets>
  <definedNames>
    <definedName name="_xlnm._FilterDatabase" localSheetId="0" hidden="1">'Vấn đề tồn tại'!$A$4:$N$54</definedName>
    <definedName name="_xlnm.Print_Titles" localSheetId="0">'Vấn đề tồn tại'!$4:$4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1F4E78"/>
      <sz val="13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i val="1"/>
      <color rgb="FF808080"/>
      <sz val="11"/>
    </font>
    <font>
      <name val="Arial"/>
      <charset val="1"/>
      <family val="0"/>
      <b val="1"/>
      <sz val="13"/>
    </font>
    <font>
      <name val="Arial"/>
      <b val="1"/>
    </font>
    <font>
      <name val="Arial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top" wrapText="1"/>
    </xf>
    <xf numFmtId="164" fontId="6" fillId="2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top" wrapText="1"/>
    </xf>
    <xf numFmtId="164" fontId="6" fillId="2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6" fillId="0" borderId="2" applyAlignment="1" pivotButton="0" quotePrefix="0" xfId="0">
      <alignment horizontal="general" vertical="bottom"/>
    </xf>
    <xf numFmtId="0" fontId="15" fillId="0" borderId="2" pivotButton="0" quotePrefix="0" xfId="0"/>
    <xf numFmtId="0" fontId="16" fillId="0" borderId="2" pivotButton="0" quotePrefix="0" xfId="0"/>
    <xf numFmtId="0" fontId="8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F8CBAD"/>
        </patternFill>
      </fill>
    </dxf>
    <dxf>
      <font>
        <color rgb="FF808080"/>
      </font>
      <fill>
        <patternFill>
          <bgColor rgb="FFE2EFDA"/>
        </patternFill>
      </fill>
    </dxf>
    <dxf>
      <font>
        <b val="1"/>
        <color rgb="FFC00000"/>
      </font>
    </dxf>
    <dxf>
      <font>
        <b val="1"/>
        <color rgb="FFED7D31"/>
      </font>
    </dxf>
    <dxf>
      <font>
        <b val="1"/>
        <color rgb="FFBF8F00"/>
      </font>
    </dxf>
    <dxf>
      <font>
        <b val="1"/>
        <color rgb="FF548235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C7" activeCellId="0" sqref="C7"/>
    </sheetView>
  </sheetViews>
  <sheetFormatPr baseColWidth="8" defaultColWidth="8.54296875" defaultRowHeight="15" customHeight="0" zeroHeight="0" outlineLevelRow="0"/>
  <cols>
    <col width="6" customWidth="1" style="23" min="1" max="1"/>
    <col width="20" customWidth="1" style="23" min="2" max="2"/>
    <col width="38" customWidth="1" style="23" min="3" max="3"/>
    <col width="14" customWidth="1" style="23" min="4" max="4"/>
    <col width="30" customWidth="1" style="23" min="5" max="5"/>
    <col width="32" customWidth="1" style="23" min="6" max="6"/>
    <col width="38" customWidth="1" style="23" min="7" max="7"/>
    <col width="18" customWidth="1" style="23" min="8" max="9"/>
    <col width="12" customWidth="1" style="23" min="10" max="10"/>
    <col width="16" customWidth="1" style="23" min="11" max="11"/>
    <col width="36" customWidth="1" style="23" min="12" max="12"/>
    <col width="13" customWidth="1" style="23" min="13" max="13"/>
    <col width="28" customWidth="1" style="23" min="14" max="14"/>
    <col width="11.53" customWidth="1" style="23" min="16383" max="16384"/>
  </cols>
  <sheetData>
    <row r="1" ht="17.35" customHeight="1" s="24">
      <c r="A1" s="25" t="inlineStr">
        <is>
          <t>BẢNG THEO DÕI CÁC VẤN ĐỀ TỒN TẠI — TIỀN GIÁM ĐỊNH BHYT</t>
        </is>
      </c>
    </row>
    <row r="2" ht="15" customHeight="1" s="24">
      <c r="A2" s="26" t="inlineStr">
        <is>
          <t>Cuộc họp ngày:</t>
        </is>
      </c>
      <c r="B2" s="27" t="n"/>
      <c r="D2" s="28" t="n"/>
    </row>
    <row r="3" ht="15" customHeight="1" s="24">
      <c r="A3" s="29" t="inlineStr">
        <is>
          <t>Ô nền vàng nhạt = ô cần điền. Cột STT tự đánh số; dòng quá hạn chưa xong tự tô đỏ. Xem sheet "Hướng dẫn".</t>
        </is>
      </c>
    </row>
    <row r="4" ht="31.5" customHeight="1" s="24">
      <c r="A4" s="30" t="inlineStr">
        <is>
          <t>STT</t>
        </is>
      </c>
      <c r="B4" s="30" t="inlineStr">
        <is>
          <t>Nhóm</t>
        </is>
      </c>
      <c r="C4" s="30" t="inlineStr">
        <is>
          <t>Vấn đề</t>
        </is>
      </c>
      <c r="D4" s="30" t="inlineStr">
        <is>
          <t>Mức độ</t>
        </is>
      </c>
      <c r="E4" s="30" t="inlineStr">
        <is>
          <t>Ảnh hưởng</t>
        </is>
      </c>
      <c r="F4" s="30" t="inlineStr">
        <is>
          <t>Nguyên nhân (giả thuyết)</t>
        </is>
      </c>
      <c r="G4" s="30" t="inlineStr">
        <is>
          <t>Hướng xử lý đề xuất</t>
        </is>
      </c>
      <c r="H4" s="30" t="inlineStr">
        <is>
          <t>Bên phụ trách</t>
        </is>
      </c>
      <c r="I4" s="30" t="inlineStr">
        <is>
          <t>Người phụ trách</t>
        </is>
      </c>
      <c r="J4" s="30" t="inlineStr">
        <is>
          <t>Hạn xử lý</t>
        </is>
      </c>
      <c r="K4" s="30" t="inlineStr">
        <is>
          <t>Trạng thái</t>
        </is>
      </c>
      <c r="L4" s="30" t="inlineStr">
        <is>
          <t>Quyết định tại cuộc họp</t>
        </is>
      </c>
      <c r="M4" s="30" t="inlineStr">
        <is>
          <t>Ngày cập nhật</t>
        </is>
      </c>
      <c r="N4" s="30" t="inlineStr">
        <is>
          <t>Ghi chú</t>
        </is>
      </c>
    </row>
    <row r="5" ht="73.45" customHeight="1" s="24">
      <c r="A5" s="31">
        <f>IF(C5="","",ROW()-4)</f>
        <v/>
      </c>
      <c r="B5" s="32" t="inlineStr">
        <is>
          <t>Lỗi HIS</t>
        </is>
      </c>
      <c r="C5" s="32" t="inlineStr">
        <is>
          <t>Người trả kết quả PACS/LIS không tồn tại trên danh mục</t>
        </is>
      </c>
      <c r="D5" s="33" t="inlineStr">
        <is>
          <t>1-Khẩn cấp</t>
        </is>
      </c>
      <c r="E5" s="32" t="inlineStr">
        <is>
          <t>Hồ sơ không gửi được lên cổng tiếp nhận</t>
        </is>
      </c>
      <c r="F5" s="32" t="inlineStr">
        <is>
          <t>Chức năng trả kết quả trên PACS/LIS chưa ổn định</t>
        </is>
      </c>
      <c r="G5" s="32" t="inlineStr">
        <is>
          <t>Rà soát để hoàn thiện quy trình trả kết quả trên PACS/LIS</t>
        </is>
      </c>
      <c r="H5" s="32" t="n"/>
      <c r="I5" s="32" t="n"/>
      <c r="J5" s="34" t="n"/>
      <c r="K5" s="33" t="inlineStr">
        <is>
          <t>Mới</t>
        </is>
      </c>
      <c r="L5" s="32" t="n"/>
      <c r="M5" s="34" t="n">
        <v>46304</v>
      </c>
      <c r="N5" s="32" t="inlineStr">
        <is>
          <t>XML4_INFO_ERROR_MA_BS_DOC_KQ_NOT_FOUND: 17.994 hồ sơ (01929: 13.852; 37470: 4.142), vd tài khoản 'vttq2' thay vì mã CCHN. Mã BS đọc KQ để trống: 404 hồ sơ.</t>
        </is>
      </c>
    </row>
    <row r="6" ht="15" customHeight="1" s="24">
      <c r="A6" s="31">
        <f>IF(C6="","",ROW()-4)</f>
        <v/>
      </c>
      <c r="B6" s="32" t="inlineStr">
        <is>
          <t>Lỗi HIS</t>
        </is>
      </c>
      <c r="C6" s="32" t="inlineStr">
        <is>
          <t>Kết quả xét nghiệm từ LIS thiếu mã chỉ số và tên chỉ số</t>
        </is>
      </c>
      <c r="D6" s="33" t="inlineStr">
        <is>
          <t>1-Khẩn cấp</t>
        </is>
      </c>
      <c r="E6" s="32" t="inlineStr">
        <is>
          <t>Hồ sơ không gửi được lên cổng tiếp nhận</t>
        </is>
      </c>
      <c r="F6" s="32" t="inlineStr">
        <is>
          <t>Kết nối LIS → HIS chưa ánh xạ mã/tên chỉ số cho một số xét nghiệm, chủ yếu Tổng phân tích tế bào máu (22.0121.1369)</t>
        </is>
      </c>
      <c r="G6" s="32" t="inlineStr">
        <is>
          <t>Rà soát bảng ánh xạ chỉ số trên LIS cho các xét nghiệm bị lỗi</t>
        </is>
      </c>
      <c r="H6" s="32" t="n"/>
      <c r="I6" s="32" t="n"/>
      <c r="J6" s="34" t="n"/>
      <c r="K6" s="33" t="inlineStr">
        <is>
          <t>Mới</t>
        </is>
      </c>
      <c r="L6" s="32" t="n"/>
      <c r="M6" s="34" t="n">
        <v>46304</v>
      </c>
      <c r="N6" s="32" t="inlineStr">
        <is>
          <t>XML4_MA_CHI_SO_EMPTY / TEN_CHI_SO_EMPTY: 29.615 hồ sơ (01929: 23.388; 37470: 6.227); riêng 22.0121.1369: 28.343</t>
        </is>
      </c>
    </row>
    <row r="7" ht="15" customHeight="1" s="24">
      <c r="A7" s="31">
        <f>IF(C7="","",ROW()-4)</f>
        <v/>
      </c>
      <c r="B7" s="32" t="inlineStr">
        <is>
          <t>Lỗi HIS</t>
        </is>
      </c>
      <c r="C7" s="32" t="inlineStr">
        <is>
          <t>Người thực hiện DVKT không có trong danh mục NVYT</t>
        </is>
      </c>
      <c r="D7" s="33" t="inlineStr">
        <is>
          <t>1-Khẩn cấp</t>
        </is>
      </c>
      <c r="E7" s="32" t="inlineStr">
        <is>
          <t>Hồ sơ không gửi được lên cổng tiếp nhận</t>
        </is>
      </c>
      <c r="F7" s="32" t="inlineStr">
        <is>
          <t>Một số mã CCHN chưa có trong danh mục NVYT; có trường hợp ghi tài khoản dùng chung (vd 'CNTT')</t>
        </is>
      </c>
      <c r="G7" s="32" t="inlineStr">
        <is>
          <t>Bổ sung NVYT lên danh mục; không cho tài khoản dùng chung thực hiện DVKT</t>
        </is>
      </c>
      <c r="H7" s="32" t="n"/>
      <c r="I7" s="32" t="n"/>
      <c r="J7" s="34" t="n"/>
      <c r="K7" s="33" t="inlineStr">
        <is>
          <t>Mới</t>
        </is>
      </c>
      <c r="L7" s="32" t="n"/>
      <c r="M7" s="34" t="n">
        <v>46304</v>
      </c>
      <c r="N7" s="32" t="inlineStr">
        <is>
          <t>XML3: 13.934 hồ sơ (01929: 12.149; 37470: 1.785); nhiều nhất 012805/BYT-CCHN (4.556), 019754/BYT-CCHN (2.122). XML5: 3.035 hồ sơ</t>
        </is>
      </c>
    </row>
    <row r="8" ht="15" customHeight="1" s="24">
      <c r="A8" s="31">
        <f>IF(C8="","",ROW()-4)</f>
        <v/>
      </c>
      <c r="B8" s="32" t="inlineStr">
        <is>
          <t>Lỗi HIS</t>
        </is>
      </c>
      <c r="C8" s="32" t="inlineStr">
        <is>
          <t>DVKT bắt buộc có người thực hiện nhưng để trống</t>
        </is>
      </c>
      <c r="D8" s="33" t="inlineStr">
        <is>
          <t>2-Cao</t>
        </is>
      </c>
      <c r="E8" s="32" t="inlineStr">
        <is>
          <t>Hồ sơ không gửi được lên cổng tiếp nhận</t>
        </is>
      </c>
      <c r="F8" s="32" t="inlineStr">
        <is>
          <t>HIS không bắt buộc nhập người thực hiện</t>
        </is>
      </c>
      <c r="G8" s="32" t="inlineStr">
        <is>
          <t>Cấu hình bắt buộc nhập người thực hiện với các DVKT này</t>
        </is>
      </c>
      <c r="H8" s="32" t="n"/>
      <c r="I8" s="32" t="n"/>
      <c r="J8" s="34" t="n"/>
      <c r="K8" s="33" t="inlineStr">
        <is>
          <t>Mới</t>
        </is>
      </c>
      <c r="L8" s="32" t="n"/>
      <c r="M8" s="34" t="n">
        <v>46304</v>
      </c>
      <c r="N8" s="32" t="inlineStr">
        <is>
          <t>XML3_INFO_ERROR_GROUP_CODE_NGUOI_THUC_HIEN: 8.833 hồ sơ</t>
        </is>
      </c>
    </row>
    <row r="9" ht="15" customHeight="1" s="24">
      <c r="A9" s="31">
        <f>IF(C9="","",ROW()-4)</f>
        <v/>
      </c>
      <c r="B9" s="32" t="inlineStr">
        <is>
          <t>Lỗi HIS</t>
        </is>
      </c>
      <c r="C9" s="32" t="inlineStr">
        <is>
          <t>Thời gian thực hiện DVKT dưới 3 phút / ngày thực hiện trùng ngày trả kết quả</t>
        </is>
      </c>
      <c r="D9" s="33" t="inlineStr">
        <is>
          <t>2-Cao</t>
        </is>
      </c>
      <c r="E9" s="32" t="inlineStr">
        <is>
          <t>Hồ sơ không gửi được; nguy cơ BHXH xuất toán</t>
        </is>
      </c>
      <c r="F9" s="32" t="inlineStr">
        <is>
          <t>Giờ bắt đầu - kết thúc ghi theo thời điểm bấm, không phải thời gian thực (Điện tim, Đường máu mao mạch tại giường…)</t>
        </is>
      </c>
      <c r="G9" s="32" t="inlineStr">
        <is>
          <t>Rà soát quy trình ghi nhận giờ thực hiện trên HIS/thiết bị</t>
        </is>
      </c>
      <c r="H9" s="32" t="n"/>
      <c r="I9" s="32" t="n"/>
      <c r="J9" s="34" t="n"/>
      <c r="K9" s="33" t="inlineStr">
        <is>
          <t>Mới</t>
        </is>
      </c>
      <c r="L9" s="32" t="n"/>
      <c r="M9" s="34" t="n">
        <v>46304</v>
      </c>
      <c r="N9" s="32" t="inlineStr">
        <is>
          <t>XML3_EXECUTION_TIME_UNDER_3MIN: 11.975 hồ sơ (Điện tim thường 0–1 phút: 6.590). XML3_NGAY_TH_YL_EQUALS_NGAY_KQ: 11.421</t>
        </is>
      </c>
    </row>
    <row r="10" ht="15" customHeight="1" s="24">
      <c r="A10" s="31">
        <f>IF(C10="","",ROW()-4)</f>
        <v/>
      </c>
      <c r="B10" s="32" t="inlineStr">
        <is>
          <t>Lỗi HIS</t>
        </is>
      </c>
      <c r="C10" s="32" t="inlineStr">
        <is>
          <t>Bác sĩ chỉ định đồng thời là người thực hiện DVKT</t>
        </is>
      </c>
      <c r="D10" s="33" t="inlineStr">
        <is>
          <t>2-Cao</t>
        </is>
      </c>
      <c r="E10" s="32" t="inlineStr">
        <is>
          <t>Hồ sơ không gửi được lên cổng tiếp nhận</t>
        </is>
      </c>
      <c r="F10" s="32" t="inlineStr">
        <is>
          <t>Thói quen ghi nhận hoặc HIS mặc định người thực hiện = người chỉ định</t>
        </is>
      </c>
      <c r="G10" s="32" t="inlineStr">
        <is>
          <t>Rà soát danh sách DVKT không cho phép trùng; chỉnh mặc định trên HIS</t>
        </is>
      </c>
      <c r="H10" s="32" t="n"/>
      <c r="I10" s="32" t="n"/>
      <c r="J10" s="34" t="n"/>
      <c r="K10" s="33" t="inlineStr">
        <is>
          <t>Mới</t>
        </is>
      </c>
      <c r="L10" s="32" t="n"/>
      <c r="M10" s="34" t="n">
        <v>46304</v>
      </c>
      <c r="N10" s="32" t="inlineStr">
        <is>
          <t>XML3_SAME_DOCTOR_ORDER_AND_EXECUTE: 7.363 hồ sơ</t>
        </is>
      </c>
    </row>
    <row r="11" ht="15" customHeight="1" s="24">
      <c r="A11" s="31">
        <f>IF(C11="","",ROW()-4)</f>
        <v/>
      </c>
      <c r="B11" s="32" t="inlineStr">
        <is>
          <t>Lỗi HIS</t>
        </is>
      </c>
      <c r="C11" s="32" t="inlineStr">
        <is>
          <t>Chồng thời gian thực hiện giữa các DVKT / PTTT trùng người, trùng giờ</t>
        </is>
      </c>
      <c r="D11" s="33" t="inlineStr">
        <is>
          <t>2-Cao</t>
        </is>
      </c>
      <c r="E11" s="32" t="inlineStr">
        <is>
          <t>Hồ sơ không gửi được; nguy cơ xuất toán</t>
        </is>
      </c>
      <c r="F11" s="32" t="inlineStr">
        <is>
          <t>Giờ thực hiện gán đồng loạt cho nhiều dịch vụ</t>
        </is>
      </c>
      <c r="G11" s="32" t="inlineStr">
        <is>
          <t>Rà soát cách gán giờ thực hiện khi chỉ định theo gói</t>
        </is>
      </c>
      <c r="H11" s="32" t="n"/>
      <c r="I11" s="32" t="n"/>
      <c r="J11" s="34" t="n"/>
      <c r="K11" s="33" t="inlineStr">
        <is>
          <t>Mới</t>
        </is>
      </c>
      <c r="L11" s="32" t="n"/>
      <c r="M11" s="34" t="n">
        <v>46304</v>
      </c>
      <c r="N11" s="32" t="inlineStr">
        <is>
          <t>XML3_OVERLAPPING_SERVICE_EXECUTION: 1.424 hồ sơ / 671.980 dòng. XML3_SERVICE_GROUP_PTTT_DUPLICATE: 1.538 hồ sơ</t>
        </is>
      </c>
    </row>
    <row r="12" ht="15" customHeight="1" s="24">
      <c r="A12" s="31">
        <f>IF(C12="","",ROW()-4)</f>
        <v/>
      </c>
      <c r="B12" s="32" t="inlineStr">
        <is>
          <t>Lỗi HIS</t>
        </is>
      </c>
      <c r="C12" s="32" t="inlineStr">
        <is>
          <t>Kết quả CLS thiếu giá trị, ngày trả kết quả, mô tả hoặc kết luận</t>
        </is>
      </c>
      <c r="D12" s="33" t="inlineStr">
        <is>
          <t>2-Cao</t>
        </is>
      </c>
      <c r="E12" s="32" t="inlineStr">
        <is>
          <t>Hồ sơ không gửi được lên cổng tiếp nhận</t>
        </is>
      </c>
      <c r="F12" s="32" t="inlineStr">
        <is>
          <t>PACS/LIS trả kết quả chưa đầy đủ trường thông tin</t>
        </is>
      </c>
      <c r="G12" s="32" t="inlineStr">
        <is>
          <t>Rà soát quy trình trả kết quả trên PACS/LIS</t>
        </is>
      </c>
      <c r="H12" s="32" t="n"/>
      <c r="I12" s="32" t="n"/>
      <c r="J12" s="34" t="n"/>
      <c r="K12" s="33" t="inlineStr">
        <is>
          <t>Mới</t>
        </is>
      </c>
      <c r="L12" s="32" t="n"/>
      <c r="M12" s="34" t="n">
        <v>46304</v>
      </c>
      <c r="N12" s="32" t="inlineStr">
        <is>
          <t>XML4_XN_MISSING_VALUE_RESULT: 3.846; NGAY_KQ trống: 2.404; MO_TA trống: 1.669; KET_LUAN trống: 775; giá trị &gt; 50 ký tự: 1.544</t>
        </is>
      </c>
    </row>
    <row r="13" ht="15" customHeight="1" s="24">
      <c r="A13" s="31">
        <f>IF(C13="","",ROW()-4)</f>
        <v/>
      </c>
      <c r="B13" s="32" t="inlineStr">
        <is>
          <t>Lỗi HIS</t>
        </is>
      </c>
      <c r="C13" s="32" t="inlineStr">
        <is>
          <t>Ngày trả kết quả nằm ngoài thời gian điều trị / ngày KQ XML4 khác XML3</t>
        </is>
      </c>
      <c r="D13" s="33" t="inlineStr">
        <is>
          <t>3-Trung bình</t>
        </is>
      </c>
      <c r="E13" s="32" t="inlineStr">
        <is>
          <t>Một phần chặn gửi; nguy cơ xuất toán</t>
        </is>
      </c>
      <c r="F13" s="32" t="inlineStr">
        <is>
          <t>Sai giờ hệ thống hoặc trả kết quả sau ra viện</t>
        </is>
      </c>
      <c r="G13" s="32" t="inlineStr">
        <is>
          <t>Rà soát các ca trả kết quả sau ngày ra viện</t>
        </is>
      </c>
      <c r="H13" s="32" t="n"/>
      <c r="I13" s="32" t="n"/>
      <c r="J13" s="34" t="n"/>
      <c r="K13" s="33" t="inlineStr">
        <is>
          <t>Mới</t>
        </is>
      </c>
      <c r="L13" s="32" t="n"/>
      <c r="M13" s="34" t="n">
        <v>46304</v>
      </c>
      <c r="N13" s="32" t="inlineStr">
        <is>
          <t>XML3_INVALID_NGAY_KQ: 1.722 (không chặn); NGAY_KQ_GREATER_NGAY_RA: 164; XML4 ≠ XML3: 393</t>
        </is>
      </c>
    </row>
    <row r="14" ht="15" customHeight="1" s="24">
      <c r="A14" s="31">
        <f>IF(C14="","",ROW()-4)</f>
        <v/>
      </c>
      <c r="B14" s="32" t="inlineStr">
        <is>
          <t>Lỗi HIS</t>
        </is>
      </c>
      <c r="C14" s="32" t="inlineStr">
        <is>
          <t>Tóm tắt kết quả / phương pháp điều trị ghi quá ngắn hoặc để trống (giấy ra viện, chuyển tuyến)</t>
        </is>
      </c>
      <c r="D14" s="33" t="inlineStr">
        <is>
          <t>2-Cao</t>
        </is>
      </c>
      <c r="E14" s="32" t="inlineStr">
        <is>
          <t>Hồ sơ không gửi được lên cổng tiếp nhận</t>
        </is>
      </c>
      <c r="F14" s="32" t="inlineStr">
        <is>
          <t>Bác sĩ ghi tắt kiểu "xem hs BA"</t>
        </is>
      </c>
      <c r="G14" s="32" t="inlineStr">
        <is>
          <t>Yêu cầu ghi đủ nội dung; HIS bắt buộc nhập</t>
        </is>
      </c>
      <c r="H14" s="32" t="n"/>
      <c r="I14" s="32" t="n"/>
      <c r="J14" s="34" t="n"/>
      <c r="K14" s="33" t="inlineStr">
        <is>
          <t>Mới</t>
        </is>
      </c>
      <c r="L14" s="32" t="n"/>
      <c r="M14" s="34" t="n">
        <v>46304</v>
      </c>
      <c r="N14" s="32" t="inlineStr">
        <is>
          <t>XML8_TOMTAT_KQ_TOO_SHORT: 5.889; PP_DIEUTRI trống: XML7 723, XML8 720</t>
        </is>
      </c>
    </row>
    <row r="15" ht="15" customHeight="1" s="24">
      <c r="A15" s="31">
        <f>IF(C15="","",ROW()-4)</f>
        <v/>
      </c>
      <c r="B15" s="32" t="inlineStr">
        <is>
          <t>Lỗi HIS</t>
        </is>
      </c>
      <c r="C15" s="32" t="inlineStr">
        <is>
          <t>Diễn biến lâm sàng sao chép trùng giữa các ngày</t>
        </is>
      </c>
      <c r="D15" s="33" t="inlineStr">
        <is>
          <t>3-Trung bình</t>
        </is>
      </c>
      <c r="E15" s="32" t="inlineStr">
        <is>
          <t>Hồ sơ không gửi được lên cổng tiếp nhận</t>
        </is>
      </c>
      <c r="F15" s="32" t="inlineStr">
        <is>
          <t>Sao chép diễn biến ngày trước</t>
        </is>
      </c>
      <c r="G15" s="32" t="inlineStr">
        <is>
          <t>Nhắc khoa lâm sàng; rà soát mẫu bệnh án</t>
        </is>
      </c>
      <c r="H15" s="32" t="n"/>
      <c r="I15" s="32" t="n"/>
      <c r="J15" s="34" t="n"/>
      <c r="K15" s="33" t="inlineStr">
        <is>
          <t>Mới</t>
        </is>
      </c>
      <c r="L15" s="32" t="n"/>
      <c r="M15" s="34" t="n">
        <v>46304</v>
      </c>
      <c r="N15" s="32" t="inlineStr">
        <is>
          <t>XML5_DIEN_BIEN_DUPLICATE: 1.568 hồ sơ</t>
        </is>
      </c>
    </row>
    <row r="16" ht="15" customHeight="1" s="24">
      <c r="A16" s="31">
        <f>IF(C16="","",ROW()-4)</f>
        <v/>
      </c>
      <c r="B16" s="32" t="inlineStr">
        <is>
          <t>Lỗi HIS</t>
        </is>
      </c>
      <c r="C16" s="32" t="inlineStr">
        <is>
          <t>Liều dùng thuốc sai định dạng hoặc sai đơn vị</t>
        </is>
      </c>
      <c r="D16" s="33" t="inlineStr">
        <is>
          <t>3-Trung bình</t>
        </is>
      </c>
      <c r="E16" s="32" t="inlineStr">
        <is>
          <t>Hồ sơ không gửi được lên cổng tiếp nhận</t>
        </is>
      </c>
      <c r="F16" s="32" t="inlineStr">
        <is>
          <t>Kê đơn nhập liều dạng tự do</t>
        </is>
      </c>
      <c r="G16" s="32" t="inlineStr">
        <is>
          <t>Chuẩn hoá mẫu liều dùng trên HIS</t>
        </is>
      </c>
      <c r="H16" s="32" t="n"/>
      <c r="I16" s="32" t="n"/>
      <c r="J16" s="34" t="n"/>
      <c r="K16" s="33" t="inlineStr">
        <is>
          <t>Mới</t>
        </is>
      </c>
      <c r="L16" s="32" t="n"/>
      <c r="M16" s="34" t="n">
        <v>46304</v>
      </c>
      <c r="N16" s="32" t="inlineStr">
        <is>
          <t>XML2_LIEU_DUNG_UNIT_INVALID: 3.207; LIEU_DUNG_INVALID_FORMAT: 1.672</t>
        </is>
      </c>
    </row>
    <row r="17" ht="15" customHeight="1" s="24">
      <c r="A17" s="31">
        <f>IF(C17="","",ROW()-4)</f>
        <v/>
      </c>
      <c r="B17" s="32" t="inlineStr">
        <is>
          <t>Lỗi HIS</t>
        </is>
      </c>
      <c r="C17" s="32" t="inlineStr">
        <is>
          <t>Thiếu thông tin hành chính: thủ trưởng đơn vị, CCCD, lý do vào nội trú</t>
        </is>
      </c>
      <c r="D17" s="33" t="inlineStr">
        <is>
          <t>2-Cao</t>
        </is>
      </c>
      <c r="E17" s="32" t="inlineStr">
        <is>
          <t>Hồ sơ không gửi được lên cổng tiếp nhận</t>
        </is>
      </c>
      <c r="F17" s="32" t="inlineStr">
        <is>
          <t>Cấu hình HIS chưa khai thủ trưởng đơn vị; tiếp đón bỏ trống</t>
        </is>
      </c>
      <c r="G17" s="32" t="inlineStr">
        <is>
          <t>Khai cấu hình thủ trưởng đơn vị; bắt buộc nhập ở tiếp đón</t>
        </is>
      </c>
      <c r="H17" s="32" t="n"/>
      <c r="I17" s="32" t="n"/>
      <c r="J17" s="34" t="n"/>
      <c r="K17" s="33" t="inlineStr">
        <is>
          <t>Mới</t>
        </is>
      </c>
      <c r="L17" s="32" t="n"/>
      <c r="M17" s="34" t="n">
        <v>46304</v>
      </c>
      <c r="N17" s="32" t="inlineStr">
        <is>
          <t>MA_TTDV trống: XML1 804, XML14 722; CCCD trống: 369; lý do vào nội trú trống: 356</t>
        </is>
      </c>
    </row>
    <row r="18" ht="15" customHeight="1" s="24">
      <c r="A18" s="31">
        <f>IF(C18="","",ROW()-4)</f>
        <v/>
      </c>
      <c r="B18" s="32" t="inlineStr">
        <is>
          <t>Lỗi HIS</t>
        </is>
      </c>
      <c r="C18" s="32" t="inlineStr">
        <is>
          <t>Dùng mã bệnh nhóm Z00 (khám sức khoẻ) làm bệnh chính / kèm theo</t>
        </is>
      </c>
      <c r="D18" s="33" t="inlineStr">
        <is>
          <t>3-Trung bình</t>
        </is>
      </c>
      <c r="E18" s="32" t="inlineStr">
        <is>
          <t>Hồ sơ không gửi được lên cổng tiếp nhận</t>
        </is>
      </c>
      <c r="F18" s="32" t="inlineStr">
        <is>
          <t>Chọn mã ICD chưa đúng</t>
        </is>
      </c>
      <c r="G18" s="32" t="inlineStr">
        <is>
          <t>Hướng dẫn chọn mã ICD; cảnh báo trên HIS</t>
        </is>
      </c>
      <c r="H18" s="32" t="n"/>
      <c r="I18" s="32" t="n"/>
      <c r="J18" s="34" t="n"/>
      <c r="K18" s="33" t="inlineStr">
        <is>
          <t>Mới</t>
        </is>
      </c>
      <c r="L18" s="32" t="n"/>
      <c r="M18" s="34" t="n">
        <v>46304</v>
      </c>
      <c r="N18" s="32" t="inlineStr">
        <is>
          <t>XML1_WARNING_MA_BENH_CHINH: 2.829; MA_BENH_KT: 2.321</t>
        </is>
      </c>
    </row>
    <row r="19" ht="15" customHeight="1" s="24">
      <c r="A19" s="31">
        <f>IF(C19="","",ROW()-4)</f>
        <v/>
      </c>
      <c r="B19" s="32" t="inlineStr">
        <is>
          <t>Lỗi HIS</t>
        </is>
      </c>
      <c r="C19" s="32" t="inlineStr">
        <is>
          <t>Ngày giường: khai thiếu so với TT39, trùng giường, số lượng &gt; 1</t>
        </is>
      </c>
      <c r="D19" s="33" t="inlineStr">
        <is>
          <t>3-Trung bình</t>
        </is>
      </c>
      <c r="E19" s="32" t="inlineStr">
        <is>
          <t>Thất thu hoặc bị xuất toán</t>
        </is>
      </c>
      <c r="F19" s="32" t="inlineStr">
        <is>
          <t>Tính ngày giường trên HIS chưa theo TT39</t>
        </is>
      </c>
      <c r="G19" s="32" t="inlineStr">
        <is>
          <t>Rà soát cách tính ngày giường trên HIS</t>
        </is>
      </c>
      <c r="H19" s="32" t="n"/>
      <c r="I19" s="32" t="n"/>
      <c r="J19" s="34" t="n"/>
      <c r="K19" s="33" t="inlineStr">
        <is>
          <t>Mới</t>
        </is>
      </c>
      <c r="L19" s="32" t="n"/>
      <c r="M19" s="34" t="n">
        <v>46304</v>
      </c>
      <c r="N19" s="32" t="inlineStr">
        <is>
          <t>BED_DAYS_BELOW_TT39: 462 (chặn); chưa khai ngày cộng thêm: 898; trùng giường: 3.958; số lượng &gt; 1: 671</t>
        </is>
      </c>
    </row>
    <row r="20" ht="15" customHeight="1" s="24">
      <c r="A20" s="31">
        <f>IF(C20="","",ROW()-4)</f>
        <v/>
      </c>
      <c r="B20" s="32" t="inlineStr">
        <is>
          <t>Lỗi HIS</t>
        </is>
      </c>
      <c r="C20" s="32" t="inlineStr">
        <is>
          <t>Mức hưởng khai vượt quyền lợi thẻ; nhiều công khám trong hồ sơ nội trú</t>
        </is>
      </c>
      <c r="D20" s="33" t="inlineStr">
        <is>
          <t>2-Cao</t>
        </is>
      </c>
      <c r="E20" s="32" t="inlineStr">
        <is>
          <t>Hồ sơ không gửi được; sai tiền BHYT chi trả</t>
        </is>
      </c>
      <c r="F20" s="32" t="inlineStr">
        <is>
          <t>Sai cấu hình mức hưởng / gộp hồ sơ</t>
        </is>
      </c>
      <c r="G20" s="32" t="inlineStr">
        <is>
          <t>Rà soát từng hồ sơ</t>
        </is>
      </c>
      <c r="H20" s="32" t="n"/>
      <c r="I20" s="32" t="n"/>
      <c r="J20" s="34" t="n"/>
      <c r="K20" s="33" t="inlineStr">
        <is>
          <t>Mới</t>
        </is>
      </c>
      <c r="L20" s="32" t="n"/>
      <c r="M20" s="34" t="n">
        <v>46304</v>
      </c>
      <c r="N20" s="32" t="inlineStr">
        <is>
          <t>MUC_HUONG_EXCEEDS_ENTITLEMENT: 386; MULTIPLE_EXAMINATION_FEES_INPATIENT: 318</t>
        </is>
      </c>
    </row>
    <row r="21" ht="15" customHeight="1" s="24">
      <c r="A21" s="31">
        <f>IF(C21="","",ROW()-4)</f>
        <v/>
      </c>
      <c r="B21" s="32" t="inlineStr">
        <is>
          <t>Lỗi HIS</t>
        </is>
      </c>
      <c r="C21" s="32" t="inlineStr">
        <is>
          <t>Dòng XML3 không có cả mã dịch vụ lẫn mã vật tư</t>
        </is>
      </c>
      <c r="D21" s="33" t="inlineStr">
        <is>
          <t>2-Cao</t>
        </is>
      </c>
      <c r="E21" s="32" t="inlineStr">
        <is>
          <t>Hồ sơ không gửi được lên cổng tiếp nhận</t>
        </is>
      </c>
      <c r="F21" s="32" t="inlineStr">
        <is>
          <t>Dịch vụ chưa gán mã BHYT trên HIS</t>
        </is>
      </c>
      <c r="G21" s="32" t="inlineStr">
        <is>
          <t>Gán mã cho dịch vụ trên HIS</t>
        </is>
      </c>
      <c r="H21" s="32" t="n"/>
      <c r="I21" s="32" t="n"/>
      <c r="J21" s="34" t="n"/>
      <c r="K21" s="33" t="inlineStr">
        <is>
          <t>Mới</t>
        </is>
      </c>
      <c r="L21" s="32" t="n"/>
      <c r="M21" s="34" t="n">
        <v>46304</v>
      </c>
      <c r="N21" s="32" t="inlineStr">
        <is>
          <t>XML3_MISSING_SERVICE_OR_MATERIAL: 1.630; XML4 mã dịch vụ trống: 734</t>
        </is>
      </c>
    </row>
    <row r="22" ht="15" customHeight="1" s="24">
      <c r="A22" s="31">
        <f>IF(C22="","",ROW()-4)</f>
        <v/>
      </c>
      <c r="B22" s="32" t="inlineStr">
        <is>
          <t>Kiểm lỗi / Danh mục</t>
        </is>
      </c>
      <c r="C22" s="32" t="inlineStr">
        <is>
          <t>DVKT không có trong danh mục DVKT của cơ sở 01929</t>
        </is>
      </c>
      <c r="D22" s="33" t="inlineStr">
        <is>
          <t>1-Khẩn cấp</t>
        </is>
      </c>
      <c r="E22" s="32" t="inlineStr">
        <is>
          <t>Hồ sơ không gửi được lên cổng tiếp nhận</t>
        </is>
      </c>
      <c r="F22" s="32" t="inlineStr">
        <is>
          <t>Danh mục DVKT 01929 chỉ có 8.123 dòng (37470: 15.660), thiếu nhiều mã CĐHA (18.0119.0028 X-quang ngực thẳng…)</t>
        </is>
      </c>
      <c r="G22" s="32" t="inlineStr">
        <is>
          <t>Nhập bổ sung danh mục DVKT đã duyệt cho 01929</t>
        </is>
      </c>
      <c r="H22" s="32" t="n"/>
      <c r="I22" s="32" t="n"/>
      <c r="J22" s="34" t="n"/>
      <c r="K22" s="33" t="inlineStr">
        <is>
          <t>Mới</t>
        </is>
      </c>
      <c r="L22" s="32" t="n"/>
      <c r="M22" s="34" t="n">
        <v>46304</v>
      </c>
      <c r="N22" s="32" t="inlineStr">
        <is>
          <t>XML3_INVALID_MA_DICH_VU: 18.060 (01929: 16.799); XML4 mã DV không có trong DM: 15.902; sai tên DVKT: 4.853</t>
        </is>
      </c>
    </row>
    <row r="23" ht="15" customHeight="1" s="24">
      <c r="A23" s="31">
        <f>IF(C23="","",ROW()-4)</f>
        <v/>
      </c>
      <c r="B23" s="32" t="inlineStr">
        <is>
          <t>Kiểm lỗi / Danh mục</t>
        </is>
      </c>
      <c r="C23" s="32" t="inlineStr">
        <is>
          <t>Mã cơ sở KCB 37470 không có trong danh mục CSKCB</t>
        </is>
      </c>
      <c r="D23" s="33" t="inlineStr">
        <is>
          <t>1-Khẩn cấp</t>
        </is>
      </c>
      <c r="E23" s="32" t="inlineStr">
        <is>
          <t>Toàn bộ hồ sơ 37470 bị chặn</t>
        </is>
      </c>
      <c r="F23" s="32" t="inlineStr">
        <is>
          <t>Danh mục CSKCB chưa có cơ sở 37470</t>
        </is>
      </c>
      <c r="G23" s="32" t="inlineStr">
        <is>
          <t>Bổ sung 37470 vào danh mục CSKCB</t>
        </is>
      </c>
      <c r="H23" s="32" t="n"/>
      <c r="I23" s="32" t="n"/>
      <c r="J23" s="34" t="n"/>
      <c r="K23" s="33" t="inlineStr">
        <is>
          <t>Mới</t>
        </is>
      </c>
      <c r="L23" s="32" t="n"/>
      <c r="M23" s="34" t="n">
        <v>46304</v>
      </c>
      <c r="N23" s="32" t="inlineStr">
        <is>
          <t>XML1_ADMIN_INFO_ERROR_MA_CSKCB_NOT_FOUND: 5.805 / 12.652 hồ sơ của 37470</t>
        </is>
      </c>
    </row>
    <row r="24" ht="15" customHeight="1" s="24">
      <c r="A24" s="31">
        <f>IF(C24="","",ROW()-4)</f>
        <v/>
      </c>
      <c r="B24" s="32" t="inlineStr">
        <is>
          <t>Kiểm lỗi / Danh mục</t>
        </is>
      </c>
      <c r="C24" s="32" t="inlineStr">
        <is>
          <t>Bác sĩ chưa được duyệt danh mục NVYT trên cổng BHXH</t>
        </is>
      </c>
      <c r="D24" s="33" t="inlineStr">
        <is>
          <t>1-Khẩn cấp</t>
        </is>
      </c>
      <c r="E24" s="32" t="inlineStr">
        <is>
          <t>Hồ sơ không gửi được lên cổng tiếp nhận</t>
        </is>
      </c>
      <c r="F24" s="32" t="inlineStr">
        <is>
          <t>Danh mục NVYT phần lớn không gắn mã cơ sở (4.827 dòng), 01929 chỉ 137 dòng</t>
        </is>
      </c>
      <c r="G24" s="32" t="inlineStr">
        <is>
          <t>Rà soát, đăng ký bổ sung NVYT lên cổng BHXH</t>
        </is>
      </c>
      <c r="H24" s="32" t="n"/>
      <c r="I24" s="32" t="n"/>
      <c r="J24" s="34" t="n"/>
      <c r="K24" s="33" t="inlineStr">
        <is>
          <t>Mới</t>
        </is>
      </c>
      <c r="L24" s="32" t="n"/>
      <c r="M24" s="34" t="n">
        <v>46304</v>
      </c>
      <c r="N24" s="32" t="inlineStr">
        <is>
          <t>MA_BAC_SI_NOT_FOUND: 3.838; XML2 bác sĩ chưa duyệt: 1.074; XML14: 1.916</t>
        </is>
      </c>
    </row>
    <row r="25" ht="15" customHeight="1" s="24">
      <c r="A25" s="31">
        <f>IF(C25="","",ROW()-4)</f>
        <v/>
      </c>
      <c r="B25" s="32" t="inlineStr">
        <is>
          <t>Kiểm lỗi / Danh mục</t>
        </is>
      </c>
      <c r="C25" s="32" t="inlineStr">
        <is>
          <t>Giá DVKT trên HIS cao hơn giá được phê duyệt</t>
        </is>
      </c>
      <c r="D25" s="33" t="inlineStr">
        <is>
          <t>2-Cao</t>
        </is>
      </c>
      <c r="E25" s="32" t="inlineStr">
        <is>
          <t>Chưa chặn gửi nhưng nguy cơ BHXH xuất toán phần chênh</t>
        </is>
      </c>
      <c r="F25" s="32" t="inlineStr">
        <is>
          <t>Bảng giá HIS và danh mục phê duyệt lệch nhau</t>
        </is>
      </c>
      <c r="G25" s="32" t="inlineStr">
        <is>
          <t>Đối chiếu bảng giá với Phòng Tài chính</t>
        </is>
      </c>
      <c r="H25" s="32" t="n"/>
      <c r="I25" s="32" t="n"/>
      <c r="J25" s="34" t="n"/>
      <c r="K25" s="33" t="inlineStr">
        <is>
          <t>Mới</t>
        </is>
      </c>
      <c r="L25" s="32" t="n"/>
      <c r="M25" s="34" t="n">
        <v>46304</v>
      </c>
      <c r="N25" s="32" t="inlineStr">
        <is>
          <t>XML3_INVALID_APPROVED_DON_GIA_BH: 30.319 hồ sơ (01929: 22.582; 37470: 7.737); vd 28.0467.1134: 19.616.000 &gt; 4.815.700</t>
        </is>
      </c>
    </row>
    <row r="26" ht="15" customHeight="1" s="24">
      <c r="A26" s="31">
        <f>IF(C26="","",ROW()-4)</f>
        <v/>
      </c>
      <c r="B26" s="32" t="inlineStr">
        <is>
          <t>Kiểm lỗi / Danh mục</t>
        </is>
      </c>
      <c r="C26" s="32" t="inlineStr">
        <is>
          <t>Thuốc lệch danh mục: dạng bào chế, ĐVT, đường dùng, tên, mã, TT thầu, giá</t>
        </is>
      </c>
      <c r="D26" s="33" t="inlineStr">
        <is>
          <t>2-Cao</t>
        </is>
      </c>
      <c r="E26" s="32" t="inlineStr">
        <is>
          <t>Hồ sơ không gửi được lên cổng tiếp nhận</t>
        </is>
      </c>
      <c r="F26" s="32" t="inlineStr">
        <is>
          <t>Danh mục thuốc trên HIS khác danh mục được duyệt (có cả lỗi chính tả, vd 'định kiều' / 'định liều')</t>
        </is>
      </c>
      <c r="G26" s="32" t="inlineStr">
        <is>
          <t>Khoa Dược đối chiếu và sửa danh mục thuốc</t>
        </is>
      </c>
      <c r="H26" s="32" t="n"/>
      <c r="I26" s="32" t="n"/>
      <c r="J26" s="34" t="n"/>
      <c r="K26" s="33" t="inlineStr">
        <is>
          <t>Mới</t>
        </is>
      </c>
      <c r="L26" s="32" t="n"/>
      <c r="M26" s="34" t="n">
        <v>46304</v>
      </c>
      <c r="N26" s="32" t="inlineStr">
        <is>
          <t>Dạng bào chế: 5.888; ĐVT: 3.199; mã thuốc: 2.333; đường dùng: 1.871; tên: 1.627; TT thầu: 1.466; giá: 1.182; SĐK: 907</t>
        </is>
      </c>
    </row>
    <row r="27" ht="15" customHeight="1" s="24">
      <c r="A27" s="31">
        <f>IF(C27="","",ROW()-4)</f>
        <v/>
      </c>
      <c r="B27" s="32" t="inlineStr">
        <is>
          <t>Kiểm lỗi / Danh mục</t>
        </is>
      </c>
      <c r="C27" s="32" t="inlineStr">
        <is>
          <t>Danh mục thiết bị (mã máy) chưa đầy đủ</t>
        </is>
      </c>
      <c r="D27" s="33" t="inlineStr">
        <is>
          <t>3-Trung bình</t>
        </is>
      </c>
      <c r="E27" s="32" t="inlineStr">
        <is>
          <t>Chưa chặn gửi; ảnh hưởng số lượng hồ sơ lớn</t>
        </is>
      </c>
      <c r="F27" s="32" t="inlineStr">
        <is>
          <t>Danh mục TTB chưa cập nhật đủ mã máy</t>
        </is>
      </c>
      <c r="G27" s="32" t="inlineStr">
        <is>
          <t>Cập nhật danh mục TTB</t>
        </is>
      </c>
      <c r="H27" s="32" t="n"/>
      <c r="I27" s="32" t="n"/>
      <c r="J27" s="34" t="n"/>
      <c r="K27" s="33" t="inlineStr">
        <is>
          <t>Mới</t>
        </is>
      </c>
      <c r="L27" s="32" t="n"/>
      <c r="M27" s="34" t="n">
        <v>46304</v>
      </c>
      <c r="N27" s="32" t="inlineStr">
        <is>
          <t>XML3_INFO_ERROR_MA_MAY_NOT_FOUND: 34.924 hồ sơ; mã máy để trống: 5.367</t>
        </is>
      </c>
    </row>
    <row r="28" ht="15" customHeight="1" s="24">
      <c r="A28" s="31">
        <f>IF(C28="","",ROW()-4)</f>
        <v/>
      </c>
      <c r="B28" s="32" t="inlineStr">
        <is>
          <t>Kiểm lỗi / Danh mục</t>
        </is>
      </c>
      <c r="C28" s="32" t="inlineStr">
        <is>
          <t>VTYT không có trong danh mục / sai tên / vượt giá</t>
        </is>
      </c>
      <c r="D28" s="33" t="inlineStr">
        <is>
          <t>3-Trung bình</t>
        </is>
      </c>
      <c r="E28" s="32" t="inlineStr">
        <is>
          <t>Một phần chặn gửi</t>
        </is>
      </c>
      <c r="F28" s="32" t="inlineStr">
        <is>
          <t>Danh mục VTYT chưa cập nhật theo thầu mới</t>
        </is>
      </c>
      <c r="G28" s="32" t="inlineStr">
        <is>
          <t>Phòng VTYT đối chiếu danh mục</t>
        </is>
      </c>
      <c r="H28" s="32" t="n"/>
      <c r="I28" s="32" t="n"/>
      <c r="J28" s="34" t="n"/>
      <c r="K28" s="33" t="inlineStr">
        <is>
          <t>Mới</t>
        </is>
      </c>
      <c r="L28" s="32" t="n"/>
      <c r="M28" s="34" t="n">
        <v>46304</v>
      </c>
      <c r="N28" s="32" t="inlineStr">
        <is>
          <t>Không có trong DM: 483 (chặn); sai tên: 370; vượt giá: 147</t>
        </is>
      </c>
    </row>
    <row r="29" ht="15" customHeight="1" s="24">
      <c r="A29" s="31">
        <f>IF(C29="","",ROW()-4)</f>
        <v/>
      </c>
      <c r="B29" s="32" t="inlineStr">
        <is>
          <t>Kiểm lỗi / Danh mục</t>
        </is>
      </c>
      <c r="C29" s="32" t="inlineStr">
        <is>
          <t>Mã tỉnh / xã cư trú không có trong danh mục</t>
        </is>
      </c>
      <c r="D29" s="33" t="inlineStr">
        <is>
          <t>3-Trung bình</t>
        </is>
      </c>
      <c r="E29" s="32" t="inlineStr">
        <is>
          <t>Hồ sơ không gửi được lên cổng tiếp nhận</t>
        </is>
      </c>
      <c r="F29" s="32" t="inlineStr">
        <is>
          <t>Mã tỉnh cũ trước sáp nhập (24, 15, 44…)</t>
        </is>
      </c>
      <c r="G29" s="32" t="inlineStr">
        <is>
          <t>Kiểm lại sau khi đã sửa danh mục hành chính ngày 24/09; nếu còn thì HIS phải chuyển mã mới</t>
        </is>
      </c>
      <c r="H29" s="32" t="n"/>
      <c r="I29" s="32" t="n"/>
      <c r="J29" s="34" t="n"/>
      <c r="K29" s="33" t="inlineStr">
        <is>
          <t>Mới</t>
        </is>
      </c>
      <c r="L29" s="32" t="n"/>
      <c r="M29" s="34" t="n">
        <v>46304</v>
      </c>
      <c r="N29" s="32" t="inlineStr">
        <is>
          <t>Mã tỉnh: 1.080 hồ sơ (mã 24: 801); mã xã: 1.111</t>
        </is>
      </c>
    </row>
    <row r="30" ht="15" customHeight="1" s="24">
      <c r="A30" s="31">
        <f>IF(C30="","",ROW()-4)</f>
        <v/>
      </c>
      <c r="B30" s="32" t="n"/>
      <c r="C30" s="32" t="n"/>
      <c r="D30" s="33" t="n"/>
      <c r="E30" s="32" t="n"/>
      <c r="F30" s="32" t="n"/>
      <c r="G30" s="32" t="n"/>
      <c r="H30" s="32" t="n"/>
      <c r="I30" s="32" t="n"/>
      <c r="J30" s="34" t="n"/>
      <c r="K30" s="33" t="n"/>
      <c r="L30" s="32" t="n"/>
      <c r="M30" s="34" t="n"/>
      <c r="N30" s="32" t="n"/>
    </row>
    <row r="31" ht="15" customHeight="1" s="24">
      <c r="A31" s="31">
        <f>IF(C31="","",ROW()-4)</f>
        <v/>
      </c>
      <c r="B31" s="32" t="n"/>
      <c r="C31" s="32" t="n"/>
      <c r="D31" s="33" t="n"/>
      <c r="E31" s="32" t="n"/>
      <c r="F31" s="32" t="n"/>
      <c r="G31" s="32" t="n"/>
      <c r="H31" s="32" t="n"/>
      <c r="I31" s="32" t="n"/>
      <c r="J31" s="34" t="n"/>
      <c r="K31" s="33" t="n"/>
      <c r="L31" s="32" t="n"/>
      <c r="M31" s="34" t="n"/>
      <c r="N31" s="32" t="n"/>
    </row>
    <row r="32" ht="15" customHeight="1" s="24">
      <c r="A32" s="31">
        <f>IF(C32="","",ROW()-4)</f>
        <v/>
      </c>
      <c r="B32" s="32" t="n"/>
      <c r="C32" s="32" t="n"/>
      <c r="D32" s="33" t="n"/>
      <c r="E32" s="32" t="n"/>
      <c r="F32" s="32" t="n"/>
      <c r="G32" s="32" t="n"/>
      <c r="H32" s="32" t="n"/>
      <c r="I32" s="32" t="n"/>
      <c r="J32" s="34" t="n"/>
      <c r="K32" s="33" t="n"/>
      <c r="L32" s="32" t="n"/>
      <c r="M32" s="34" t="n"/>
      <c r="N32" s="32" t="n"/>
    </row>
    <row r="33" ht="15" customHeight="1" s="24">
      <c r="A33" s="31">
        <f>IF(C33="","",ROW()-4)</f>
        <v/>
      </c>
      <c r="B33" s="32" t="n"/>
      <c r="C33" s="32" t="n"/>
      <c r="D33" s="33" t="n"/>
      <c r="E33" s="32" t="n"/>
      <c r="F33" s="32" t="n"/>
      <c r="G33" s="32" t="n"/>
      <c r="H33" s="32" t="n"/>
      <c r="I33" s="32" t="n"/>
      <c r="J33" s="34" t="n"/>
      <c r="K33" s="33" t="n"/>
      <c r="L33" s="32" t="n"/>
      <c r="M33" s="34" t="n"/>
      <c r="N33" s="32" t="n"/>
    </row>
    <row r="34" ht="15" customHeight="1" s="24">
      <c r="A34" s="31">
        <f>IF(C34="","",ROW()-4)</f>
        <v/>
      </c>
      <c r="B34" s="32" t="n"/>
      <c r="C34" s="32" t="n"/>
      <c r="D34" s="33" t="n"/>
      <c r="E34" s="32" t="n"/>
      <c r="F34" s="32" t="n"/>
      <c r="G34" s="32" t="n"/>
      <c r="H34" s="32" t="n"/>
      <c r="I34" s="32" t="n"/>
      <c r="J34" s="34" t="n"/>
      <c r="K34" s="33" t="n"/>
      <c r="L34" s="32" t="n"/>
      <c r="M34" s="34" t="n"/>
      <c r="N34" s="32" t="n"/>
    </row>
    <row r="35" ht="15" customHeight="1" s="24">
      <c r="A35" s="31">
        <f>IF(C35="","",ROW()-4)</f>
        <v/>
      </c>
      <c r="B35" s="32" t="n"/>
      <c r="C35" s="32" t="n"/>
      <c r="D35" s="33" t="n"/>
      <c r="E35" s="32" t="n"/>
      <c r="F35" s="32" t="n"/>
      <c r="G35" s="32" t="n"/>
      <c r="H35" s="32" t="n"/>
      <c r="I35" s="32" t="n"/>
      <c r="J35" s="34" t="n"/>
      <c r="K35" s="33" t="n"/>
      <c r="L35" s="32" t="n"/>
      <c r="M35" s="34" t="n"/>
      <c r="N35" s="32" t="n"/>
    </row>
    <row r="36" ht="15" customHeight="1" s="24">
      <c r="A36" s="31">
        <f>IF(C36="","",ROW()-4)</f>
        <v/>
      </c>
      <c r="B36" s="32" t="n"/>
      <c r="C36" s="32" t="n"/>
      <c r="D36" s="33" t="n"/>
      <c r="E36" s="32" t="n"/>
      <c r="F36" s="32" t="n"/>
      <c r="G36" s="32" t="n"/>
      <c r="H36" s="32" t="n"/>
      <c r="I36" s="32" t="n"/>
      <c r="J36" s="34" t="n"/>
      <c r="K36" s="33" t="n"/>
      <c r="L36" s="32" t="n"/>
      <c r="M36" s="34" t="n"/>
      <c r="N36" s="32" t="n"/>
    </row>
    <row r="37" ht="15" customHeight="1" s="24">
      <c r="A37" s="31">
        <f>IF(C37="","",ROW()-4)</f>
        <v/>
      </c>
      <c r="B37" s="32" t="n"/>
      <c r="C37" s="32" t="n"/>
      <c r="D37" s="33" t="n"/>
      <c r="E37" s="32" t="n"/>
      <c r="F37" s="32" t="n"/>
      <c r="G37" s="32" t="n"/>
      <c r="H37" s="32" t="n"/>
      <c r="I37" s="32" t="n"/>
      <c r="J37" s="34" t="n"/>
      <c r="K37" s="33" t="n"/>
      <c r="L37" s="32" t="n"/>
      <c r="M37" s="34" t="n"/>
      <c r="N37" s="32" t="n"/>
    </row>
    <row r="38" ht="15" customHeight="1" s="24">
      <c r="A38" s="31">
        <f>IF(C38="","",ROW()-4)</f>
        <v/>
      </c>
      <c r="B38" s="32" t="n"/>
      <c r="C38" s="32" t="n"/>
      <c r="D38" s="33" t="n"/>
      <c r="E38" s="32" t="n"/>
      <c r="F38" s="32" t="n"/>
      <c r="G38" s="32" t="n"/>
      <c r="H38" s="32" t="n"/>
      <c r="I38" s="32" t="n"/>
      <c r="J38" s="34" t="n"/>
      <c r="K38" s="33" t="n"/>
      <c r="L38" s="32" t="n"/>
      <c r="M38" s="34" t="n"/>
      <c r="N38" s="32" t="n"/>
    </row>
    <row r="39" ht="15" customHeight="1" s="24">
      <c r="A39" s="31">
        <f>IF(C39="","",ROW()-4)</f>
        <v/>
      </c>
      <c r="B39" s="32" t="n"/>
      <c r="C39" s="32" t="n"/>
      <c r="D39" s="33" t="n"/>
      <c r="E39" s="32" t="n"/>
      <c r="F39" s="32" t="n"/>
      <c r="G39" s="32" t="n"/>
      <c r="H39" s="32" t="n"/>
      <c r="I39" s="32" t="n"/>
      <c r="J39" s="34" t="n"/>
      <c r="K39" s="33" t="n"/>
      <c r="L39" s="32" t="n"/>
      <c r="M39" s="34" t="n"/>
      <c r="N39" s="32" t="n"/>
    </row>
    <row r="40" ht="15" customHeight="1" s="24">
      <c r="A40" s="31">
        <f>IF(C40="","",ROW()-4)</f>
        <v/>
      </c>
      <c r="B40" s="32" t="n"/>
      <c r="C40" s="32" t="n"/>
      <c r="D40" s="33" t="n"/>
      <c r="E40" s="32" t="n"/>
      <c r="F40" s="32" t="n"/>
      <c r="G40" s="32" t="n"/>
      <c r="H40" s="32" t="n"/>
      <c r="I40" s="32" t="n"/>
      <c r="J40" s="34" t="n"/>
      <c r="K40" s="33" t="n"/>
      <c r="L40" s="32" t="n"/>
      <c r="M40" s="34" t="n"/>
      <c r="N40" s="32" t="n"/>
    </row>
    <row r="41" ht="15" customHeight="1" s="24">
      <c r="A41" s="31">
        <f>IF(C41="","",ROW()-4)</f>
        <v/>
      </c>
      <c r="B41" s="32" t="n"/>
      <c r="C41" s="32" t="n"/>
      <c r="D41" s="33" t="n"/>
      <c r="E41" s="32" t="n"/>
      <c r="F41" s="32" t="n"/>
      <c r="G41" s="32" t="n"/>
      <c r="H41" s="32" t="n"/>
      <c r="I41" s="32" t="n"/>
      <c r="J41" s="34" t="n"/>
      <c r="K41" s="33" t="n"/>
      <c r="L41" s="32" t="n"/>
      <c r="M41" s="34" t="n"/>
      <c r="N41" s="32" t="n"/>
    </row>
    <row r="42" ht="15" customHeight="1" s="24">
      <c r="A42" s="31">
        <f>IF(C42="","",ROW()-4)</f>
        <v/>
      </c>
      <c r="B42" s="32" t="n"/>
      <c r="C42" s="32" t="n"/>
      <c r="D42" s="33" t="n"/>
      <c r="E42" s="32" t="n"/>
      <c r="F42" s="32" t="n"/>
      <c r="G42" s="32" t="n"/>
      <c r="H42" s="32" t="n"/>
      <c r="I42" s="32" t="n"/>
      <c r="J42" s="34" t="n"/>
      <c r="K42" s="33" t="n"/>
      <c r="L42" s="32" t="n"/>
      <c r="M42" s="34" t="n"/>
      <c r="N42" s="32" t="n"/>
    </row>
    <row r="43" ht="15" customHeight="1" s="24">
      <c r="A43" s="31">
        <f>IF(C43="","",ROW()-4)</f>
        <v/>
      </c>
      <c r="B43" s="32" t="n"/>
      <c r="C43" s="32" t="n"/>
      <c r="D43" s="33" t="n"/>
      <c r="E43" s="32" t="n"/>
      <c r="F43" s="32" t="n"/>
      <c r="G43" s="32" t="n"/>
      <c r="H43" s="32" t="n"/>
      <c r="I43" s="32" t="n"/>
      <c r="J43" s="34" t="n"/>
      <c r="K43" s="33" t="n"/>
      <c r="L43" s="32" t="n"/>
      <c r="M43" s="34" t="n"/>
      <c r="N43" s="32" t="n"/>
    </row>
    <row r="44" ht="15" customHeight="1" s="24">
      <c r="A44" s="31">
        <f>IF(C44="","",ROW()-4)</f>
        <v/>
      </c>
      <c r="B44" s="32" t="n"/>
      <c r="C44" s="32" t="n"/>
      <c r="D44" s="33" t="n"/>
      <c r="E44" s="32" t="n"/>
      <c r="F44" s="32" t="n"/>
      <c r="G44" s="32" t="n"/>
      <c r="H44" s="32" t="n"/>
      <c r="I44" s="32" t="n"/>
      <c r="J44" s="34" t="n"/>
      <c r="K44" s="33" t="n"/>
      <c r="L44" s="32" t="n"/>
      <c r="M44" s="34" t="n"/>
      <c r="N44" s="32" t="n"/>
    </row>
    <row r="45" ht="15" customHeight="1" s="24">
      <c r="A45" s="31">
        <f>IF(C45="","",ROW()-4)</f>
        <v/>
      </c>
      <c r="B45" s="32" t="n"/>
      <c r="C45" s="32" t="n"/>
      <c r="D45" s="33" t="n"/>
      <c r="E45" s="32" t="n"/>
      <c r="F45" s="32" t="n"/>
      <c r="G45" s="32" t="n"/>
      <c r="H45" s="32" t="n"/>
      <c r="I45" s="32" t="n"/>
      <c r="J45" s="34" t="n"/>
      <c r="K45" s="33" t="n"/>
      <c r="L45" s="32" t="n"/>
      <c r="M45" s="34" t="n"/>
      <c r="N45" s="32" t="n"/>
    </row>
    <row r="46" ht="15" customHeight="1" s="24">
      <c r="A46" s="31">
        <f>IF(C46="","",ROW()-4)</f>
        <v/>
      </c>
      <c r="B46" s="32" t="n"/>
      <c r="C46" s="32" t="n"/>
      <c r="D46" s="33" t="n"/>
      <c r="E46" s="32" t="n"/>
      <c r="F46" s="32" t="n"/>
      <c r="G46" s="32" t="n"/>
      <c r="H46" s="32" t="n"/>
      <c r="I46" s="32" t="n"/>
      <c r="J46" s="34" t="n"/>
      <c r="K46" s="33" t="n"/>
      <c r="L46" s="32" t="n"/>
      <c r="M46" s="34" t="n"/>
      <c r="N46" s="32" t="n"/>
    </row>
    <row r="47" ht="15" customHeight="1" s="24">
      <c r="A47" s="31">
        <f>IF(C47="","",ROW()-4)</f>
        <v/>
      </c>
      <c r="B47" s="32" t="n"/>
      <c r="C47" s="32" t="n"/>
      <c r="D47" s="33" t="n"/>
      <c r="E47" s="32" t="n"/>
      <c r="F47" s="32" t="n"/>
      <c r="G47" s="32" t="n"/>
      <c r="H47" s="32" t="n"/>
      <c r="I47" s="32" t="n"/>
      <c r="J47" s="34" t="n"/>
      <c r="K47" s="33" t="n"/>
      <c r="L47" s="32" t="n"/>
      <c r="M47" s="34" t="n"/>
      <c r="N47" s="32" t="n"/>
    </row>
    <row r="48" ht="15" customHeight="1" s="24">
      <c r="A48" s="31">
        <f>IF(C48="","",ROW()-4)</f>
        <v/>
      </c>
      <c r="B48" s="32" t="n"/>
      <c r="C48" s="32" t="n"/>
      <c r="D48" s="33" t="n"/>
      <c r="E48" s="32" t="n"/>
      <c r="F48" s="32" t="n"/>
      <c r="G48" s="32" t="n"/>
      <c r="H48" s="32" t="n"/>
      <c r="I48" s="32" t="n"/>
      <c r="J48" s="34" t="n"/>
      <c r="K48" s="33" t="n"/>
      <c r="L48" s="32" t="n"/>
      <c r="M48" s="34" t="n"/>
      <c r="N48" s="32" t="n"/>
    </row>
    <row r="49" ht="15" customHeight="1" s="24">
      <c r="A49" s="31">
        <f>IF(C49="","",ROW()-4)</f>
        <v/>
      </c>
      <c r="B49" s="32" t="n"/>
      <c r="C49" s="32" t="n"/>
      <c r="D49" s="33" t="n"/>
      <c r="E49" s="32" t="n"/>
      <c r="F49" s="32" t="n"/>
      <c r="G49" s="32" t="n"/>
      <c r="H49" s="32" t="n"/>
      <c r="I49" s="32" t="n"/>
      <c r="J49" s="34" t="n"/>
      <c r="K49" s="33" t="n"/>
      <c r="L49" s="32" t="n"/>
      <c r="M49" s="34" t="n"/>
      <c r="N49" s="32" t="n"/>
    </row>
    <row r="50" ht="15" customHeight="1" s="24">
      <c r="A50" s="31">
        <f>IF(C50="","",ROW()-4)</f>
        <v/>
      </c>
      <c r="B50" s="32" t="n"/>
      <c r="C50" s="32" t="n"/>
      <c r="D50" s="33" t="n"/>
      <c r="E50" s="32" t="n"/>
      <c r="F50" s="32" t="n"/>
      <c r="G50" s="32" t="n"/>
      <c r="H50" s="32" t="n"/>
      <c r="I50" s="32" t="n"/>
      <c r="J50" s="34" t="n"/>
      <c r="K50" s="33" t="n"/>
      <c r="L50" s="32" t="n"/>
      <c r="M50" s="34" t="n"/>
      <c r="N50" s="32" t="n"/>
    </row>
    <row r="51" ht="15" customHeight="1" s="24">
      <c r="A51" s="31">
        <f>IF(C51="","",ROW()-4)</f>
        <v/>
      </c>
      <c r="B51" s="32" t="n"/>
      <c r="C51" s="32" t="n"/>
      <c r="D51" s="33" t="n"/>
      <c r="E51" s="32" t="n"/>
      <c r="F51" s="32" t="n"/>
      <c r="G51" s="32" t="n"/>
      <c r="H51" s="32" t="n"/>
      <c r="I51" s="32" t="n"/>
      <c r="J51" s="34" t="n"/>
      <c r="K51" s="33" t="n"/>
      <c r="L51" s="32" t="n"/>
      <c r="M51" s="34" t="n"/>
      <c r="N51" s="32" t="n"/>
    </row>
    <row r="52" ht="15" customHeight="1" s="24">
      <c r="A52" s="31">
        <f>IF(C52="","",ROW()-4)</f>
        <v/>
      </c>
      <c r="B52" s="32" t="n"/>
      <c r="C52" s="32" t="n"/>
      <c r="D52" s="33" t="n"/>
      <c r="E52" s="32" t="n"/>
      <c r="F52" s="32" t="n"/>
      <c r="G52" s="32" t="n"/>
      <c r="H52" s="32" t="n"/>
      <c r="I52" s="32" t="n"/>
      <c r="J52" s="34" t="n"/>
      <c r="K52" s="33" t="n"/>
      <c r="L52" s="32" t="n"/>
      <c r="M52" s="34" t="n"/>
      <c r="N52" s="32" t="n"/>
    </row>
    <row r="53" ht="15" customHeight="1" s="24">
      <c r="A53" s="31">
        <f>IF(C53="","",ROW()-4)</f>
        <v/>
      </c>
      <c r="B53" s="32" t="n"/>
      <c r="C53" s="32" t="n"/>
      <c r="D53" s="33" t="n"/>
      <c r="E53" s="32" t="n"/>
      <c r="F53" s="32" t="n"/>
      <c r="G53" s="32" t="n"/>
      <c r="H53" s="32" t="n"/>
      <c r="I53" s="32" t="n"/>
      <c r="J53" s="34" t="n"/>
      <c r="K53" s="33" t="n"/>
      <c r="L53" s="32" t="n"/>
      <c r="M53" s="34" t="n"/>
      <c r="N53" s="32" t="n"/>
    </row>
    <row r="54" ht="15" customHeight="1" s="24">
      <c r="A54" s="31">
        <f>IF(C54="","",ROW()-4)</f>
        <v/>
      </c>
      <c r="B54" s="32" t="n"/>
      <c r="C54" s="32" t="n"/>
      <c r="D54" s="33" t="n"/>
      <c r="E54" s="32" t="n"/>
      <c r="F54" s="32" t="n"/>
      <c r="G54" s="32" t="n"/>
      <c r="H54" s="32" t="n"/>
      <c r="I54" s="32" t="n"/>
      <c r="J54" s="34" t="n"/>
      <c r="K54" s="33" t="n"/>
      <c r="L54" s="32" t="n"/>
      <c r="M54" s="34" t="n"/>
      <c r="N54" s="32" t="n"/>
    </row>
  </sheetData>
  <autoFilter ref="A4:N54"/>
  <mergeCells count="3">
    <mergeCell ref="D2:G2"/>
    <mergeCell ref="B2:C2"/>
    <mergeCell ref="A1:N1"/>
  </mergeCells>
  <conditionalFormatting sqref="A5:N54">
    <cfRule type="expression" rank="0" priority="2" equalAverage="0" aboveAverage="0" dxfId="6" text="" percent="0" bottom="0">
      <formula>AND($J5&lt;&gt;"",$J5&lt;TODAY(),$K5&lt;&gt;"Đã xong",$K5&lt;&gt;"Huỷ")</formula>
    </cfRule>
    <cfRule type="expression" rank="0" priority="3" equalAverage="0" aboveAverage="0" dxfId="7" text="" percent="0" bottom="0">
      <formula>OR($K5="Đã xong",$K5="Huỷ")</formula>
    </cfRule>
  </conditionalFormatting>
  <conditionalFormatting sqref="D5:D54">
    <cfRule type="expression" rank="0" priority="4" equalAverage="0" aboveAverage="0" dxfId="8" text="" percent="0" bottom="0">
      <formula>$D5="1-Khẩn cấp"</formula>
    </cfRule>
    <cfRule type="expression" rank="0" priority="5" equalAverage="0" aboveAverage="0" dxfId="9" text="" percent="0" bottom="0">
      <formula>$D5="2-Cao"</formula>
    </cfRule>
    <cfRule type="expression" rank="0" priority="6" equalAverage="0" aboveAverage="0" dxfId="10" text="" percent="0" bottom="0">
      <formula>$D5="3-Trung bình"</formula>
    </cfRule>
    <cfRule type="expression" rank="0" priority="7" equalAverage="0" aboveAverage="0" dxfId="11" text="" percent="0" bottom="0">
      <formula>$D5="4-Thấp"</formula>
    </cfRule>
  </conditionalFormatting>
  <dataValidations count="5">
    <dataValidation sqref="B5:B54" showDropDown="0" showInputMessage="0" showErrorMessage="0" allowBlank="1" type="list" errorStyle="stop" operator="between">
      <formula1>'Danh mục'!$A$2:$A$31</formula1>
      <formula2>0</formula2>
    </dataValidation>
    <dataValidation sqref="D5:D54" showDropDown="0" showInputMessage="0" showErrorMessage="0" allowBlank="1" type="list" errorStyle="stop" operator="between">
      <formula1>'Danh mục'!$B$2:$B$31</formula1>
      <formula2>0</formula2>
    </dataValidation>
    <dataValidation sqref="K5:K54" showDropDown="0" showInputMessage="0" showErrorMessage="0" allowBlank="1" type="list" errorStyle="stop" operator="between">
      <formula1>'Danh mục'!$C$2:$C$31</formula1>
      <formula2>0</formula2>
    </dataValidation>
    <dataValidation sqref="H5:H54" showDropDown="0" showInputMessage="0" showErrorMessage="0" allowBlank="1" type="list" errorStyle="stop" operator="between">
      <formula1>'Danh mục'!$D$2:$D$31</formula1>
      <formula2>0</formula2>
    </dataValidation>
    <dataValidation sqref="J5:J54 M5:M54" showDropDown="0" showInputMessage="0" showErrorMessage="1" allowBlank="1" error="Nhập ngày dạng dd/mm/yyyy" type="date" errorStyle="stop" operator="greaterThan">
      <formula1>DATE(2020,1,1)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0" zeroHeight="0" outlineLevelRow="0"/>
  <cols>
    <col width="24" customWidth="1" style="23" min="1" max="1"/>
    <col width="15" customWidth="1" style="23" min="2" max="8"/>
  </cols>
  <sheetData>
    <row r="1" ht="16.15" customHeight="1" s="24">
      <c r="A1" s="35" t="inlineStr">
        <is>
          <t>TỔNG HỢP TỰ ĐỘNG (không cần điền)</t>
        </is>
      </c>
    </row>
    <row r="3" ht="15" customHeight="1" s="24">
      <c r="A3" s="36" t="inlineStr">
        <is>
          <t>Tổng số vấn đề</t>
        </is>
      </c>
      <c r="B3" s="26">
        <f>COUNTIF('Vấn đề tồn tại'!$C$5:$C$54,"?*")</f>
        <v/>
      </c>
    </row>
    <row r="4" ht="15" customHeight="1" s="24">
      <c r="A4" s="37" t="inlineStr">
        <is>
          <t>Quá hạn chưa xong</t>
        </is>
      </c>
      <c r="B4" s="26">
        <f>SUMPRODUCT(('Vấn đề tồn tại'!$J$5:$J$54&lt;&gt;"")*('Vấn đề tồn tại'!$J$5:$J$54&lt;TODAY())*('Vấn đề tồn tại'!$K$5:$K$54&lt;&gt;"Đã xong")*('Vấn đề tồn tại'!$K$5:$K$54&lt;&gt;"Huỷ"))</f>
        <v/>
      </c>
    </row>
    <row r="5" ht="15" customHeight="1" s="24">
      <c r="A5" s="36" t="inlineStr">
        <is>
          <t>Tỷ lệ đã xong</t>
        </is>
      </c>
      <c r="B5" s="38">
        <f>IF(B3=0,0,COUNTIF('Vấn đề tồn tại'!$K$5:$K$54,"Đã xong")/B3)</f>
        <v/>
      </c>
    </row>
    <row r="7" ht="15" customHeight="1" s="24">
      <c r="A7" s="39" t="inlineStr">
        <is>
          <t>Mức độ \ Trạng thái</t>
        </is>
      </c>
      <c r="B7" s="39" t="inlineStr">
        <is>
          <t>Mới</t>
        </is>
      </c>
      <c r="C7" s="39" t="inlineStr">
        <is>
          <t>Đang xử lý</t>
        </is>
      </c>
      <c r="D7" s="39" t="inlineStr">
        <is>
          <t>Chờ quyết định</t>
        </is>
      </c>
      <c r="E7" s="39" t="inlineStr">
        <is>
          <t>Tạm dừng</t>
        </is>
      </c>
      <c r="F7" s="39" t="inlineStr">
        <is>
          <t>Đã xong</t>
        </is>
      </c>
      <c r="G7" s="39" t="inlineStr">
        <is>
          <t>Huỷ</t>
        </is>
      </c>
      <c r="H7" s="39" t="inlineStr">
        <is>
          <t>Tổng</t>
        </is>
      </c>
    </row>
    <row r="8" ht="15" customHeight="1" s="24">
      <c r="A8" s="40" t="inlineStr">
        <is>
          <t>1-Khẩn cấp</t>
        </is>
      </c>
      <c r="B8" s="41">
        <f>COUNTIFS('Vấn đề tồn tại'!$D$5:$D$54,$A8,'Vấn đề tồn tại'!$K$5:$K$54,B$7)</f>
        <v/>
      </c>
      <c r="C8" s="41">
        <f>COUNTIFS('Vấn đề tồn tại'!$D$5:$D$54,$A8,'Vấn đề tồn tại'!$K$5:$K$54,C$7)</f>
        <v/>
      </c>
      <c r="D8" s="41">
        <f>COUNTIFS('Vấn đề tồn tại'!$D$5:$D$54,$A8,'Vấn đề tồn tại'!$K$5:$K$54,D$7)</f>
        <v/>
      </c>
      <c r="E8" s="41">
        <f>COUNTIFS('Vấn đề tồn tại'!$D$5:$D$54,$A8,'Vấn đề tồn tại'!$K$5:$K$54,E$7)</f>
        <v/>
      </c>
      <c r="F8" s="41">
        <f>COUNTIFS('Vấn đề tồn tại'!$D$5:$D$54,$A8,'Vấn đề tồn tại'!$K$5:$K$54,F$7)</f>
        <v/>
      </c>
      <c r="G8" s="41">
        <f>COUNTIFS('Vấn đề tồn tại'!$D$5:$D$54,$A8,'Vấn đề tồn tại'!$K$5:$K$54,G$7)</f>
        <v/>
      </c>
      <c r="H8" s="40">
        <f>SUM(B8:G8)</f>
        <v/>
      </c>
    </row>
    <row r="9" ht="15" customHeight="1" s="24">
      <c r="A9" s="40" t="inlineStr">
        <is>
          <t>2-Cao</t>
        </is>
      </c>
      <c r="B9" s="41">
        <f>COUNTIFS('Vấn đề tồn tại'!$D$5:$D$54,$A9,'Vấn đề tồn tại'!$K$5:$K$54,B$7)</f>
        <v/>
      </c>
      <c r="C9" s="41">
        <f>COUNTIFS('Vấn đề tồn tại'!$D$5:$D$54,$A9,'Vấn đề tồn tại'!$K$5:$K$54,C$7)</f>
        <v/>
      </c>
      <c r="D9" s="41">
        <f>COUNTIFS('Vấn đề tồn tại'!$D$5:$D$54,$A9,'Vấn đề tồn tại'!$K$5:$K$54,D$7)</f>
        <v/>
      </c>
      <c r="E9" s="41">
        <f>COUNTIFS('Vấn đề tồn tại'!$D$5:$D$54,$A9,'Vấn đề tồn tại'!$K$5:$K$54,E$7)</f>
        <v/>
      </c>
      <c r="F9" s="41">
        <f>COUNTIFS('Vấn đề tồn tại'!$D$5:$D$54,$A9,'Vấn đề tồn tại'!$K$5:$K$54,F$7)</f>
        <v/>
      </c>
      <c r="G9" s="41">
        <f>COUNTIFS('Vấn đề tồn tại'!$D$5:$D$54,$A9,'Vấn đề tồn tại'!$K$5:$K$54,G$7)</f>
        <v/>
      </c>
      <c r="H9" s="40">
        <f>SUM(B9:G9)</f>
        <v/>
      </c>
    </row>
    <row r="10" ht="15" customHeight="1" s="24">
      <c r="A10" s="40" t="inlineStr">
        <is>
          <t>3-Trung bình</t>
        </is>
      </c>
      <c r="B10" s="41">
        <f>COUNTIFS('Vấn đề tồn tại'!$D$5:$D$54,$A10,'Vấn đề tồn tại'!$K$5:$K$54,B$7)</f>
        <v/>
      </c>
      <c r="C10" s="41">
        <f>COUNTIFS('Vấn đề tồn tại'!$D$5:$D$54,$A10,'Vấn đề tồn tại'!$K$5:$K$54,C$7)</f>
        <v/>
      </c>
      <c r="D10" s="41">
        <f>COUNTIFS('Vấn đề tồn tại'!$D$5:$D$54,$A10,'Vấn đề tồn tại'!$K$5:$K$54,D$7)</f>
        <v/>
      </c>
      <c r="E10" s="41">
        <f>COUNTIFS('Vấn đề tồn tại'!$D$5:$D$54,$A10,'Vấn đề tồn tại'!$K$5:$K$54,E$7)</f>
        <v/>
      </c>
      <c r="F10" s="41">
        <f>COUNTIFS('Vấn đề tồn tại'!$D$5:$D$54,$A10,'Vấn đề tồn tại'!$K$5:$K$54,F$7)</f>
        <v/>
      </c>
      <c r="G10" s="41">
        <f>COUNTIFS('Vấn đề tồn tại'!$D$5:$D$54,$A10,'Vấn đề tồn tại'!$K$5:$K$54,G$7)</f>
        <v/>
      </c>
      <c r="H10" s="40">
        <f>SUM(B10:G10)</f>
        <v/>
      </c>
    </row>
    <row r="11" ht="15" customHeight="1" s="24">
      <c r="A11" s="40" t="inlineStr">
        <is>
          <t>4-Thấp</t>
        </is>
      </c>
      <c r="B11" s="41">
        <f>COUNTIFS('Vấn đề tồn tại'!$D$5:$D$54,$A11,'Vấn đề tồn tại'!$K$5:$K$54,B$7)</f>
        <v/>
      </c>
      <c r="C11" s="41">
        <f>COUNTIFS('Vấn đề tồn tại'!$D$5:$D$54,$A11,'Vấn đề tồn tại'!$K$5:$K$54,C$7)</f>
        <v/>
      </c>
      <c r="D11" s="41">
        <f>COUNTIFS('Vấn đề tồn tại'!$D$5:$D$54,$A11,'Vấn đề tồn tại'!$K$5:$K$54,D$7)</f>
        <v/>
      </c>
      <c r="E11" s="41">
        <f>COUNTIFS('Vấn đề tồn tại'!$D$5:$D$54,$A11,'Vấn đề tồn tại'!$K$5:$K$54,E$7)</f>
        <v/>
      </c>
      <c r="F11" s="41">
        <f>COUNTIFS('Vấn đề tồn tại'!$D$5:$D$54,$A11,'Vấn đề tồn tại'!$K$5:$K$54,F$7)</f>
        <v/>
      </c>
      <c r="G11" s="41">
        <f>COUNTIFS('Vấn đề tồn tại'!$D$5:$D$54,$A11,'Vấn đề tồn tại'!$K$5:$K$54,G$7)</f>
        <v/>
      </c>
      <c r="H11" s="40">
        <f>SUM(B11:G11)</f>
        <v/>
      </c>
    </row>
    <row r="12" ht="15" customHeight="1" s="24">
      <c r="A12" s="40" t="inlineStr">
        <is>
          <t>Tổng</t>
        </is>
      </c>
      <c r="B12" s="40">
        <f>SUM(B8:B11)</f>
        <v/>
      </c>
      <c r="C12" s="40">
        <f>SUM(C8:C11)</f>
        <v/>
      </c>
      <c r="D12" s="40">
        <f>SUM(D8:D11)</f>
        <v/>
      </c>
      <c r="E12" s="40">
        <f>SUM(E8:E11)</f>
        <v/>
      </c>
      <c r="F12" s="40">
        <f>SUM(F8:F11)</f>
        <v/>
      </c>
      <c r="G12" s="40">
        <f>SUM(G8:G11)</f>
        <v/>
      </c>
      <c r="H12" s="40">
        <f>SUM(H8:H11)</f>
        <v/>
      </c>
    </row>
    <row r="14" ht="25.3" customHeight="1" s="24">
      <c r="A14" s="39" t="inlineStr">
        <is>
          <t>Nhóm</t>
        </is>
      </c>
      <c r="B14" s="39" t="inlineStr">
        <is>
          <t>Tổng</t>
        </is>
      </c>
      <c r="C14" s="39" t="inlineStr">
        <is>
          <t>Chưa xong</t>
        </is>
      </c>
      <c r="D14" s="39" t="inlineStr">
        <is>
          <t>Khẩn cấp + Cao chưa xong</t>
        </is>
      </c>
    </row>
    <row r="15" ht="15" customHeight="1" s="24">
      <c r="A15" s="42">
        <f>IF('Danh mục'!A2="","",'Danh mục'!A2)</f>
        <v/>
      </c>
      <c r="B15" s="43">
        <f>IF($A15="","",COUNTIF('Vấn đề tồn tại'!$B$5:$B$54,$A15))</f>
        <v/>
      </c>
      <c r="C15" s="43">
        <f>IF($A15="","",B15-COUNTIFS('Vấn đề tồn tại'!$B$5:$B$54,$A15,'Vấn đề tồn tại'!$K$5:$K$54,"Đã xong")-COUNTIFS('Vấn đề tồn tại'!$B$5:$B$54,$A15,'Vấn đề tồn tại'!$K$5:$K$54,"Huỷ"))</f>
        <v/>
      </c>
      <c r="D15" s="43">
        <f>IF($A15="","",SUMPRODUCT(('Vấn đề tồn tại'!$B$5:$B$54=$A15)*((('Vấn đề tồn tại'!$D$5:$D$54="1-Khẩn cấp")+('Vấn đề tồn tại'!$D$5:$D$54="2-Cao"))&gt;0)*('Vấn đề tồn tại'!$K$5:$K$54&lt;&gt;"Đã xong")*('Vấn đề tồn tại'!$K$5:$K$54&lt;&gt;"Huỷ")))</f>
        <v/>
      </c>
    </row>
    <row r="16" ht="15" customHeight="1" s="24">
      <c r="A16" s="42">
        <f>IF('Danh mục'!A3="","",'Danh mục'!A3)</f>
        <v/>
      </c>
      <c r="B16" s="43">
        <f>IF($A16="","",COUNTIF('Vấn đề tồn tại'!$B$5:$B$54,$A16))</f>
        <v/>
      </c>
      <c r="C16" s="43">
        <f>IF($A16="","",B16-COUNTIFS('Vấn đề tồn tại'!$B$5:$B$54,$A16,'Vấn đề tồn tại'!$K$5:$K$54,"Đã xong")-COUNTIFS('Vấn đề tồn tại'!$B$5:$B$54,$A16,'Vấn đề tồn tại'!$K$5:$K$54,"Huỷ"))</f>
        <v/>
      </c>
      <c r="D16" s="43">
        <f>IF($A16="","",SUMPRODUCT(('Vấn đề tồn tại'!$B$5:$B$54=$A16)*((('Vấn đề tồn tại'!$D$5:$D$54="1-Khẩn cấp")+('Vấn đề tồn tại'!$D$5:$D$54="2-Cao"))&gt;0)*('Vấn đề tồn tại'!$K$5:$K$54&lt;&gt;"Đã xong")*('Vấn đề tồn tại'!$K$5:$K$54&lt;&gt;"Huỷ")))</f>
        <v/>
      </c>
    </row>
    <row r="17" ht="15" customHeight="1" s="24">
      <c r="A17" s="42">
        <f>IF('Danh mục'!A4="","",'Danh mục'!A4)</f>
        <v/>
      </c>
      <c r="B17" s="43">
        <f>IF($A17="","",COUNTIF('Vấn đề tồn tại'!$B$5:$B$54,$A17))</f>
        <v/>
      </c>
      <c r="C17" s="43">
        <f>IF($A17="","",B17-COUNTIFS('Vấn đề tồn tại'!$B$5:$B$54,$A17,'Vấn đề tồn tại'!$K$5:$K$54,"Đã xong")-COUNTIFS('Vấn đề tồn tại'!$B$5:$B$54,$A17,'Vấn đề tồn tại'!$K$5:$K$54,"Huỷ"))</f>
        <v/>
      </c>
      <c r="D17" s="43">
        <f>IF($A17="","",SUMPRODUCT(('Vấn đề tồn tại'!$B$5:$B$54=$A17)*((('Vấn đề tồn tại'!$D$5:$D$54="1-Khẩn cấp")+('Vấn đề tồn tại'!$D$5:$D$54="2-Cao"))&gt;0)*('Vấn đề tồn tại'!$K$5:$K$54&lt;&gt;"Đã xong")*('Vấn đề tồn tại'!$K$5:$K$54&lt;&gt;"Huỷ")))</f>
        <v/>
      </c>
    </row>
    <row r="18" ht="15" customHeight="1" s="24">
      <c r="A18" s="42">
        <f>IF('Danh mục'!A5="","",'Danh mục'!A5)</f>
        <v/>
      </c>
      <c r="B18" s="43">
        <f>IF($A18="","",COUNTIF('Vấn đề tồn tại'!$B$5:$B$54,$A18))</f>
        <v/>
      </c>
      <c r="C18" s="43">
        <f>IF($A18="","",B18-COUNTIFS('Vấn đề tồn tại'!$B$5:$B$54,$A18,'Vấn đề tồn tại'!$K$5:$K$54,"Đã xong")-COUNTIFS('Vấn đề tồn tại'!$B$5:$B$54,$A18,'Vấn đề tồn tại'!$K$5:$K$54,"Huỷ"))</f>
        <v/>
      </c>
      <c r="D18" s="43">
        <f>IF($A18="","",SUMPRODUCT(('Vấn đề tồn tại'!$B$5:$B$54=$A18)*((('Vấn đề tồn tại'!$D$5:$D$54="1-Khẩn cấp")+('Vấn đề tồn tại'!$D$5:$D$54="2-Cao"))&gt;0)*('Vấn đề tồn tại'!$K$5:$K$54&lt;&gt;"Đã xong")*('Vấn đề tồn tại'!$K$5:$K$54&lt;&gt;"Huỷ")))</f>
        <v/>
      </c>
    </row>
    <row r="19" ht="15" customHeight="1" s="24">
      <c r="A19" s="42">
        <f>IF('Danh mục'!A6="","",'Danh mục'!A6)</f>
        <v/>
      </c>
      <c r="B19" s="43">
        <f>IF($A19="","",COUNTIF('Vấn đề tồn tại'!$B$5:$B$54,$A19))</f>
        <v/>
      </c>
      <c r="C19" s="43">
        <f>IF($A19="","",B19-COUNTIFS('Vấn đề tồn tại'!$B$5:$B$54,$A19,'Vấn đề tồn tại'!$K$5:$K$54,"Đã xong")-COUNTIFS('Vấn đề tồn tại'!$B$5:$B$54,$A19,'Vấn đề tồn tại'!$K$5:$K$54,"Huỷ"))</f>
        <v/>
      </c>
      <c r="D19" s="43">
        <f>IF($A19="","",SUMPRODUCT(('Vấn đề tồn tại'!$B$5:$B$54=$A19)*((('Vấn đề tồn tại'!$D$5:$D$54="1-Khẩn cấp")+('Vấn đề tồn tại'!$D$5:$D$54="2-Cao"))&gt;0)*('Vấn đề tồn tại'!$K$5:$K$54&lt;&gt;"Đã xong")*('Vấn đề tồn tại'!$K$5:$K$54&lt;&gt;"Huỷ")))</f>
        <v/>
      </c>
    </row>
    <row r="20" ht="15" customHeight="1" s="24">
      <c r="A20" s="42">
        <f>IF('Danh mục'!A7="","",'Danh mục'!A7)</f>
        <v/>
      </c>
      <c r="B20" s="43">
        <f>IF($A20="","",COUNTIF('Vấn đề tồn tại'!$B$5:$B$54,$A20))</f>
        <v/>
      </c>
      <c r="C20" s="43">
        <f>IF($A20="","",B20-COUNTIFS('Vấn đề tồn tại'!$B$5:$B$54,$A20,'Vấn đề tồn tại'!$K$5:$K$54,"Đã xong")-COUNTIFS('Vấn đề tồn tại'!$B$5:$B$54,$A20,'Vấn đề tồn tại'!$K$5:$K$54,"Huỷ"))</f>
        <v/>
      </c>
      <c r="D20" s="43">
        <f>IF($A20="","",SUMPRODUCT(('Vấn đề tồn tại'!$B$5:$B$54=$A20)*((('Vấn đề tồn tại'!$D$5:$D$54="1-Khẩn cấp")+('Vấn đề tồn tại'!$D$5:$D$54="2-Cao"))&gt;0)*('Vấn đề tồn tại'!$K$5:$K$54&lt;&gt;"Đã xong")*('Vấn đề tồn tại'!$K$5:$K$54&lt;&gt;"Huỷ")))</f>
        <v/>
      </c>
    </row>
    <row r="21" ht="15" customHeight="1" s="24">
      <c r="A21" s="42">
        <f>IF('Danh mục'!A8="","",'Danh mục'!A8)</f>
        <v/>
      </c>
      <c r="B21" s="43">
        <f>IF($A21="","",COUNTIF('Vấn đề tồn tại'!$B$5:$B$54,$A21))</f>
        <v/>
      </c>
      <c r="C21" s="43">
        <f>IF($A21="","",B21-COUNTIFS('Vấn đề tồn tại'!$B$5:$B$54,$A21,'Vấn đề tồn tại'!$K$5:$K$54,"Đã xong")-COUNTIFS('Vấn đề tồn tại'!$B$5:$B$54,$A21,'Vấn đề tồn tại'!$K$5:$K$54,"Huỷ"))</f>
        <v/>
      </c>
      <c r="D21" s="43">
        <f>IF($A21="","",SUMPRODUCT(('Vấn đề tồn tại'!$B$5:$B$54=$A21)*((('Vấn đề tồn tại'!$D$5:$D$54="1-Khẩn cấp")+('Vấn đề tồn tại'!$D$5:$D$54="2-Cao"))&gt;0)*('Vấn đề tồn tại'!$K$5:$K$54&lt;&gt;"Đã xong")*('Vấn đề tồn tại'!$K$5:$K$54&lt;&gt;"Huỷ")))</f>
        <v/>
      </c>
    </row>
    <row r="22" ht="15" customHeight="1" s="24">
      <c r="A22" s="42">
        <f>IF('Danh mục'!A9="","",'Danh mục'!A9)</f>
        <v/>
      </c>
      <c r="B22" s="43">
        <f>IF($A22="","",COUNTIF('Vấn đề tồn tại'!$B$5:$B$54,$A22))</f>
        <v/>
      </c>
      <c r="C22" s="43">
        <f>IF($A22="","",B22-COUNTIFS('Vấn đề tồn tại'!$B$5:$B$54,$A22,'Vấn đề tồn tại'!$K$5:$K$54,"Đã xong")-COUNTIFS('Vấn đề tồn tại'!$B$5:$B$54,$A22,'Vấn đề tồn tại'!$K$5:$K$54,"Huỷ"))</f>
        <v/>
      </c>
      <c r="D22" s="43">
        <f>IF($A22="","",SUMPRODUCT(('Vấn đề tồn tại'!$B$5:$B$54=$A22)*((('Vấn đề tồn tại'!$D$5:$D$54="1-Khẩn cấp")+('Vấn đề tồn tại'!$D$5:$D$54="2-Cao"))&gt;0)*('Vấn đề tồn tại'!$K$5:$K$54&lt;&gt;"Đã xong")*('Vấn đề tồn tại'!$K$5:$K$54&lt;&gt;"Huỷ")))</f>
        <v/>
      </c>
    </row>
    <row r="23">
      <c r="A23" s="44">
        <f>IF('Danh mục'!A10="","",'Danh mục'!A10)</f>
        <v/>
      </c>
      <c r="B23" s="45">
        <f>IF($A23="","",COUNTIF('Vấn đề tồn tại'!$B$5:$B$54,$A23))</f>
        <v/>
      </c>
      <c r="C23" s="45">
        <f>IF($A23="","",B23-COUNTIFS('Vấn đề tồn tại'!$B$5:$B$54,$A23,'Vấn đề tồn tại'!$K$5:$K$54,"Đã xong")-COUNTIFS('Vấn đề tồn tại'!$B$5:$B$54,$A23,'Vấn đề tồn tại'!$K$5:$K$54,"Huỷ"))</f>
        <v/>
      </c>
      <c r="D23" s="45">
        <f>IF($A23="","",SUMPRODUCT(('Vấn đề tồn tại'!$B$5:$B$54=$A23)*((('Vấn đề tồn tại'!$D$5:$D$54="1-Khẩn cấp")+('Vấn đề tồn tại'!$D$5:$D$54="2-Cao"))&gt;0)*('Vấn đề tồn tại'!$K$5:$K$54&lt;&gt;"Đã xong")*('Vấn đề tồn tại'!$K$5:$K$54&lt;&gt;"Huỷ")))</f>
        <v/>
      </c>
    </row>
    <row r="24">
      <c r="A24" s="44">
        <f>IF('Danh mục'!A11="","",'Danh mục'!A11)</f>
        <v/>
      </c>
      <c r="B24" s="45">
        <f>IF($A24="","",COUNTIF('Vấn đề tồn tại'!$B$5:$B$54,$A24))</f>
        <v/>
      </c>
      <c r="C24" s="45">
        <f>IF($A24="","",B24-COUNTIFS('Vấn đề tồn tại'!$B$5:$B$54,$A24,'Vấn đề tồn tại'!$K$5:$K$54,"Đã xong")-COUNTIFS('Vấn đề tồn tại'!$B$5:$B$54,$A24,'Vấn đề tồn tại'!$K$5:$K$54,"Huỷ"))</f>
        <v/>
      </c>
      <c r="D24" s="45">
        <f>IF($A24="","",SUMPRODUCT(('Vấn đề tồn tại'!$B$5:$B$54=$A24)*((('Vấn đề tồn tại'!$D$5:$D$54="1-Khẩn cấp")+('Vấn đề tồn tại'!$D$5:$D$54="2-Cao"))&gt;0)*('Vấn đề tồn tại'!$K$5:$K$54&lt;&gt;"Đã xong")*('Vấn đề tồn tại'!$K$5:$K$54&lt;&gt;"Huỷ")))</f>
        <v/>
      </c>
    </row>
    <row r="25">
      <c r="A25" s="44">
        <f>IF('Danh mục'!A12="","",'Danh mục'!A12)</f>
        <v/>
      </c>
      <c r="B25" s="45">
        <f>IF($A25="","",COUNTIF('Vấn đề tồn tại'!$B$5:$B$54,$A25))</f>
        <v/>
      </c>
      <c r="C25" s="45">
        <f>IF($A25="","",B25-COUNTIFS('Vấn đề tồn tại'!$B$5:$B$54,$A25,'Vấn đề tồn tại'!$K$5:$K$54,"Đã xong")-COUNTIFS('Vấn đề tồn tại'!$B$5:$B$54,$A25,'Vấn đề tồn tại'!$K$5:$K$54,"Huỷ"))</f>
        <v/>
      </c>
      <c r="D25" s="45">
        <f>IF($A25="","",SUMPRODUCT(('Vấn đề tồn tại'!$B$5:$B$54=$A25)*((('Vấn đề tồn tại'!$D$5:$D$54="1-Khẩn cấp")+('Vấn đề tồn tại'!$D$5:$D$54="2-Cao"))&gt;0)*('Vấn đề tồn tại'!$K$5:$K$54&lt;&gt;"Đã xong")*('Vấn đề tồn tại'!$K$5:$K$54&lt;&gt;"Huỷ")))</f>
        <v/>
      </c>
    </row>
    <row r="26">
      <c r="A26" s="44">
        <f>IF('Danh mục'!A13="","",'Danh mục'!A13)</f>
        <v/>
      </c>
      <c r="B26" s="45">
        <f>IF($A26="","",COUNTIF('Vấn đề tồn tại'!$B$5:$B$54,$A26))</f>
        <v/>
      </c>
      <c r="C26" s="45">
        <f>IF($A26="","",B26-COUNTIFS('Vấn đề tồn tại'!$B$5:$B$54,$A26,'Vấn đề tồn tại'!$K$5:$K$54,"Đã xong")-COUNTIFS('Vấn đề tồn tại'!$B$5:$B$54,$A26,'Vấn đề tồn tại'!$K$5:$K$54,"Huỷ"))</f>
        <v/>
      </c>
      <c r="D26" s="45">
        <f>IF($A26="","",SUMPRODUCT(('Vấn đề tồn tại'!$B$5:$B$54=$A26)*((('Vấn đề tồn tại'!$D$5:$D$54="1-Khẩn cấp")+('Vấn đề tồn tại'!$D$5:$D$54="2-Cao"))&gt;0)*('Vấn đề tồn tại'!$K$5:$K$54&lt;&gt;"Đã xong")*('Vấn đề tồn tại'!$K$5:$K$54&lt;&gt;"Huỷ")))</f>
        <v/>
      </c>
    </row>
    <row r="27">
      <c r="A27" s="44">
        <f>IF('Danh mục'!A14="","",'Danh mục'!A14)</f>
        <v/>
      </c>
      <c r="B27" s="45">
        <f>IF($A27="","",COUNTIF('Vấn đề tồn tại'!$B$5:$B$54,$A27))</f>
        <v/>
      </c>
      <c r="C27" s="45">
        <f>IF($A27="","",B27-COUNTIFS('Vấn đề tồn tại'!$B$5:$B$54,$A27,'Vấn đề tồn tại'!$K$5:$K$54,"Đã xong")-COUNTIFS('Vấn đề tồn tại'!$B$5:$B$54,$A27,'Vấn đề tồn tại'!$K$5:$K$54,"Huỷ"))</f>
        <v/>
      </c>
      <c r="D27" s="45">
        <f>IF($A27="","",SUMPRODUCT(('Vấn đề tồn tại'!$B$5:$B$54=$A27)*((('Vấn đề tồn tại'!$D$5:$D$54="1-Khẩn cấp")+('Vấn đề tồn tại'!$D$5:$D$54="2-Cao"))&gt;0)*('Vấn đề tồn tại'!$K$5:$K$54&lt;&gt;"Đã xong")*('Vấn đề tồn tại'!$K$5:$K$54&lt;&gt;"Huỷ")))</f>
        <v/>
      </c>
    </row>
    <row r="28">
      <c r="A28" s="44">
        <f>IF('Danh mục'!A15="","",'Danh mục'!A15)</f>
        <v/>
      </c>
      <c r="B28" s="45">
        <f>IF($A28="","",COUNTIF('Vấn đề tồn tại'!$B$5:$B$54,$A28))</f>
        <v/>
      </c>
      <c r="C28" s="45">
        <f>IF($A28="","",B28-COUNTIFS('Vấn đề tồn tại'!$B$5:$B$54,$A28,'Vấn đề tồn tại'!$K$5:$K$54,"Đã xong")-COUNTIFS('Vấn đề tồn tại'!$B$5:$B$54,$A28,'Vấn đề tồn tại'!$K$5:$K$54,"Huỷ"))</f>
        <v/>
      </c>
      <c r="D28" s="45">
        <f>IF($A28="","",SUMPRODUCT(('Vấn đề tồn tại'!$B$5:$B$54=$A28)*((('Vấn đề tồn tại'!$D$5:$D$54="1-Khẩn cấp")+('Vấn đề tồn tại'!$D$5:$D$54="2-Cao"))&gt;0)*('Vấn đề tồn tại'!$K$5:$K$54&lt;&gt;"Đã xong")*('Vấn đề tồn tại'!$K$5:$K$54&lt;&gt;"Huỷ")))</f>
        <v/>
      </c>
    </row>
    <row r="29">
      <c r="A29" s="44">
        <f>IF('Danh mục'!A16="","",'Danh mục'!A16)</f>
        <v/>
      </c>
      <c r="B29" s="45">
        <f>IF($A29="","",COUNTIF('Vấn đề tồn tại'!$B$5:$B$54,$A29))</f>
        <v/>
      </c>
      <c r="C29" s="45">
        <f>IF($A29="","",B29-COUNTIFS('Vấn đề tồn tại'!$B$5:$B$54,$A29,'Vấn đề tồn tại'!$K$5:$K$54,"Đã xong")-COUNTIFS('Vấn đề tồn tại'!$B$5:$B$54,$A29,'Vấn đề tồn tại'!$K$5:$K$54,"Huỷ"))</f>
        <v/>
      </c>
      <c r="D29" s="45">
        <f>IF($A29="","",SUMPRODUCT(('Vấn đề tồn tại'!$B$5:$B$54=$A29)*((('Vấn đề tồn tại'!$D$5:$D$54="1-Khẩn cấp")+('Vấn đề tồn tại'!$D$5:$D$54="2-Cao"))&gt;0)*('Vấn đề tồn tại'!$K$5:$K$54&lt;&gt;"Đã xong")*('Vấn đề tồn tại'!$K$5:$K$54&lt;&gt;"Huỷ")))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7" activeCellId="0" sqref="A17"/>
    </sheetView>
  </sheetViews>
  <sheetFormatPr baseColWidth="8" defaultColWidth="8.54296875" defaultRowHeight="15" customHeight="0" zeroHeight="0" outlineLevelRow="0"/>
  <cols>
    <col width="24" customWidth="1" style="23" min="1" max="4"/>
  </cols>
  <sheetData>
    <row r="1" ht="15" customHeight="1" s="24">
      <c r="A1" s="46" t="inlineStr">
        <is>
          <t>Nhóm</t>
        </is>
      </c>
      <c r="B1" s="46" t="inlineStr">
        <is>
          <t>Mức độ</t>
        </is>
      </c>
      <c r="C1" s="46" t="inlineStr">
        <is>
          <t>Trạng thái</t>
        </is>
      </c>
      <c r="D1" s="46" t="inlineStr">
        <is>
          <t>Bên phụ trách</t>
        </is>
      </c>
      <c r="F1" s="51" t="inlineStr">
        <is>
          <t>Có thể sửa / thêm giá trị trong các cột trên (chữ xanh, tối đa tới dòng 30) — ô chọn ở sheet chính tự cập nhật.</t>
        </is>
      </c>
    </row>
    <row r="2" ht="15" customHeight="1" s="24">
      <c r="A2" s="47" t="inlineStr">
        <is>
          <t>Gửi cổng BHXH</t>
        </is>
      </c>
      <c r="B2" s="47" t="inlineStr">
        <is>
          <t>1-Khẩn cấp</t>
        </is>
      </c>
      <c r="C2" s="47" t="inlineStr">
        <is>
          <t>Mới</t>
        </is>
      </c>
      <c r="D2" s="47" t="inlineStr">
        <is>
          <t>CNTT</t>
        </is>
      </c>
    </row>
    <row r="3" ht="15" customHeight="1" s="24">
      <c r="A3" s="47" t="inlineStr">
        <is>
          <t>Kiểm lỗi / Danh mục</t>
        </is>
      </c>
      <c r="B3" s="47" t="inlineStr">
        <is>
          <t>2-Cao</t>
        </is>
      </c>
      <c r="C3" s="47" t="inlineStr">
        <is>
          <t>Đang xử lý</t>
        </is>
      </c>
      <c r="D3" s="47" t="inlineStr">
        <is>
          <t>Phòng KHTH</t>
        </is>
      </c>
    </row>
    <row r="4" ht="15" customHeight="1" s="24">
      <c r="A4" s="47" t="inlineStr">
        <is>
          <t>Kiểm y lệnh</t>
        </is>
      </c>
      <c r="B4" s="47" t="inlineStr">
        <is>
          <t>3-Trung bình</t>
        </is>
      </c>
      <c r="C4" s="47" t="inlineStr">
        <is>
          <t>Chờ quyết định</t>
        </is>
      </c>
      <c r="D4" s="47" t="inlineStr">
        <is>
          <t>Phòng Tài chính</t>
        </is>
      </c>
    </row>
    <row r="5" ht="15" customHeight="1" s="24">
      <c r="A5" s="47" t="inlineStr">
        <is>
          <t>Hạ tầng / Mạng</t>
        </is>
      </c>
      <c r="B5" s="47" t="inlineStr">
        <is>
          <t>4-Thấp</t>
        </is>
      </c>
      <c r="C5" s="47" t="inlineStr">
        <is>
          <t>Tạm dừng</t>
        </is>
      </c>
      <c r="D5" s="47" t="inlineStr">
        <is>
          <t>Khoa Dược</t>
        </is>
      </c>
    </row>
    <row r="6" ht="15" customHeight="1" s="24">
      <c r="A6" s="47" t="inlineStr">
        <is>
          <t>Nghiệm thu</t>
        </is>
      </c>
      <c r="C6" s="47" t="inlineStr">
        <is>
          <t>Đã xong</t>
        </is>
      </c>
      <c r="D6" s="47" t="inlineStr">
        <is>
          <t>Phòng VTYT</t>
        </is>
      </c>
    </row>
    <row r="7" ht="15" customHeight="1" s="24">
      <c r="A7" s="47" t="inlineStr">
        <is>
          <t>Nghiệp vụ / Quy định</t>
        </is>
      </c>
      <c r="C7" s="47" t="inlineStr">
        <is>
          <t>Huỷ</t>
        </is>
      </c>
      <c r="D7" s="47" t="inlineStr">
        <is>
          <t>Công ty phần mềm</t>
        </is>
      </c>
    </row>
    <row r="8" ht="15" customHeight="1" s="24">
      <c r="A8" s="47" t="inlineStr">
        <is>
          <t>Phần mềm</t>
        </is>
      </c>
      <c r="D8" s="47" t="inlineStr">
        <is>
          <t>Ban Giám đốc</t>
        </is>
      </c>
    </row>
    <row r="9" ht="15" customHeight="1" s="24">
      <c r="A9" s="47" t="inlineStr">
        <is>
          <t>Lỗi HIS</t>
        </is>
      </c>
      <c r="D9" s="47" t="n"/>
    </row>
    <row r="10" ht="15" customHeight="1" s="24">
      <c r="A10" s="47" t="inlineStr">
        <is>
          <t>Khác</t>
        </is>
      </c>
      <c r="D10" s="47" t="inlineStr">
        <is>
          <t>BHXH</t>
        </is>
      </c>
    </row>
    <row r="11"/>
    <row r="12"/>
    <row r="13" ht="15" customHeight="1" s="24">
      <c r="A13" s="48" t="n"/>
    </row>
    <row r="14"/>
    <row r="15"/>
    <row r="16"/>
    <row r="17"/>
    <row r="18"/>
    <row r="1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0" zeroHeight="0" outlineLevelRow="0"/>
  <cols>
    <col width="130" customWidth="1" style="23" min="1" max="1"/>
  </cols>
  <sheetData>
    <row r="1" ht="16.15" customHeight="1" s="24">
      <c r="A1" s="49" t="inlineStr">
        <is>
          <t>HƯỚNG DẪN SỬ DỤNG</t>
        </is>
      </c>
    </row>
    <row r="2" ht="15" customHeight="1" s="24">
      <c r="A2" s="50" t="inlineStr">
        <is>
          <t>1. Điền ở sheet "Vấn đề tồn tại". Ô nền vàng nhạt, chữ xanh là ô nhập; cột STT tự đánh số khi cột "Vấn đề" có nội dung.</t>
        </is>
      </c>
    </row>
    <row r="3" ht="15" customHeight="1" s="24">
      <c r="A3" s="50" t="inlineStr">
        <is>
          <t>2. Các cột Nhóm, Mức độ, Bên phụ trách, Trạng thái có ô chọn. Muốn thêm giá trị, sửa ở sheet "Danh mục".</t>
        </is>
      </c>
    </row>
    <row r="4" ht="15" customHeight="1" s="24">
      <c r="A4" s="50" t="inlineStr">
        <is>
          <t>3. Ngày nhập dạng dd/mm/yyyy. Dòng có "Hạn xử lý" đã qua mà chưa "Đã xong"/"Huỷ" tự tô đỏ; dòng đã xong tô xanh, chữ xám.</t>
        </is>
      </c>
    </row>
    <row r="5" ht="15" customHeight="1" s="24">
      <c r="A5" s="50" t="inlineStr">
        <is>
          <t>4. Sheet "Tổng hợp" tự đếm theo mức độ, trạng thái, nhóm — không cần điền.</t>
        </is>
      </c>
    </row>
    <row r="6" ht="15" customHeight="1" s="24">
      <c r="A6" s="50" t="inlineStr">
        <is>
          <t>5. Dùng nút lọc ở dòng tiêu đề để xem theo nhóm, trạng thái, người phụ trách. Bảng in vừa khổ A3 ngang.</t>
        </is>
      </c>
    </row>
    <row r="7" ht="15" customHeight="1" s="24">
      <c r="A7" s="50" t="inlineStr">
        <is>
          <t>6. Ghi chú các dòng rà soát ngày 09/10/2026 là số hồ sơ có lỗi (nạp từ 01/09/2026), truy vấn chỉ đọc trên CSDL thật; bảng lỗi chỉ giữ lần kiểm mới nhất.</t>
        </is>
      </c>
    </row>
    <row r="8" ht="15" customHeight="1" s="24">
      <c r="A8" s="50" t="n"/>
    </row>
    <row r="9" ht="15" customHeight="1" s="24">
      <c r="A9" s="26" t="inlineStr">
        <is>
          <t>Ý nghĩa mức độ:</t>
        </is>
      </c>
    </row>
    <row r="10" ht="15" customHeight="1" s="24">
      <c r="A10" s="50" t="inlineStr">
        <is>
          <t>1-Khẩn cấp: đang làm dừng nghiệp vụ / ảnh hưởng thanh toán — xử lý ngay.</t>
        </is>
      </c>
    </row>
    <row r="11" ht="15" customHeight="1" s="24">
      <c r="A11" s="50" t="inlineStr">
        <is>
          <t>2-Cao: ảnh hưởng rộng, cần xử lý trong tuần.</t>
        </is>
      </c>
    </row>
    <row r="12" ht="15" customHeight="1" s="24">
      <c r="A12" s="50" t="inlineStr">
        <is>
          <t>3-Trung bình: cần kế hoạch, xử lý trong tháng.</t>
        </is>
      </c>
    </row>
    <row r="13" ht="15" customHeight="1" s="24">
      <c r="A13" s="50" t="inlineStr">
        <is>
          <t>4-Thấp: tồn đọng nhỏ, làm khi có thời gian.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2026-10-09T07:26:09Z</dcterms:created>
  <dcterms:modified xmlns:dcterms="http://purl.org/dc/terms/" xmlns:xsi="http://www.w3.org/2001/XMLSchema-instance" xsi:type="dcterms:W3CDTF">2026-10-09T07:42:02Z</dcterms:modified>
  <cp:revision>2</cp:revision>
</cp:coreProperties>
</file>