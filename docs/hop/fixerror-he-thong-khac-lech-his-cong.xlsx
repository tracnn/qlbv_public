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sheetId="1" state="visible" r:id="rId1"/>
    <sheet name="Chi tiet quy tac" sheetId="2" state="visible" r:id="rId2"/>
    <sheet name="Ma ICD bi doi" sheetId="3" state="visible" r:id="rId3"/>
    <sheet name="Ma Z bi xoa" sheetId="4" state="visible" r:id="rId4"/>
    <sheet name="Ma VT gan cung" sheetId="5" state="visible" r:id="rId5"/>
    <sheet name="Truong khoa gan thay" sheetId="6" state="visible" r:id="rId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4E78"/>
      <sz val="14"/>
    </font>
    <font>
      <name val="Arial"/>
      <b val="1"/>
    </font>
    <font>
      <name val="Arial"/>
    </font>
    <font>
      <name val="Arial"/>
      <b val="1"/>
      <color rgb="001F4E78"/>
      <sz val="12"/>
    </font>
    <font>
      <name val="Arial"/>
      <b val="1"/>
      <color rgb="00FFFFFF"/>
    </font>
    <font>
      <name val="Arial"/>
      <sz val="10"/>
    </font>
    <font>
      <name val="Arial"/>
      <b val="1"/>
      <sz val="10"/>
    </font>
    <font>
      <name val="Arial"/>
      <i val="1"/>
    </font>
  </fonts>
  <fills count="6">
    <fill>
      <patternFill/>
    </fill>
    <fill>
      <patternFill patternType="gray125"/>
    </fill>
    <fill>
      <patternFill patternType="solid">
        <fgColor rgb="001F4E78"/>
      </patternFill>
    </fill>
    <fill>
      <patternFill patternType="solid">
        <fgColor rgb="00F8CBAD"/>
      </patternFill>
    </fill>
    <fill>
      <patternFill patternType="solid">
        <fgColor rgb="00FFE699"/>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applyAlignment="1" pivotButton="0" quotePrefix="0" xfId="0">
      <alignment vertical="top"/>
    </xf>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3" fillId="0" borderId="1" pivotButton="0" quotePrefix="0" xfId="0"/>
    <xf numFmtId="0" fontId="3" fillId="0" borderId="1" applyAlignment="1" pivotButton="0" quotePrefix="0" xfId="0">
      <alignment horizontal="center"/>
    </xf>
    <xf numFmtId="0" fontId="2" fillId="0" borderId="1" pivotButton="0" quotePrefix="0" xfId="0"/>
    <xf numFmtId="0" fontId="2" fillId="0" borderId="1" applyAlignment="1" pivotButton="0" quotePrefix="0" xfId="0">
      <alignment horizontal="center"/>
    </xf>
    <xf numFmtId="0" fontId="2" fillId="0" borderId="0" pivotButton="0" quotePrefix="0" xfId="0"/>
    <xf numFmtId="0" fontId="2" fillId="3" borderId="0" pivotButton="0" quotePrefix="0" xfId="0"/>
    <xf numFmtId="0" fontId="3" fillId="0" borderId="0" pivotButton="0" quotePrefix="0" xfId="0"/>
    <xf numFmtId="0" fontId="2" fillId="4" borderId="0" pivotButton="0" quotePrefix="0" xfId="0"/>
    <xf numFmtId="0" fontId="2" fillId="5" borderId="0" pivotButton="0" quotePrefix="0" xfId="0"/>
    <xf numFmtId="0" fontId="6" fillId="0" borderId="1" applyAlignment="1" pivotButton="0" quotePrefix="0" xfId="0">
      <alignment vertical="top" wrapText="1"/>
    </xf>
    <xf numFmtId="0" fontId="7" fillId="5" borderId="1" applyAlignment="1" pivotButton="0" quotePrefix="0" xfId="0">
      <alignment vertical="top" wrapText="1"/>
    </xf>
    <xf numFmtId="0" fontId="7" fillId="4" borderId="1" applyAlignment="1" pivotButton="0" quotePrefix="0" xfId="0">
      <alignment vertical="top" wrapText="1"/>
    </xf>
    <xf numFmtId="0" fontId="7" fillId="3" borderId="1" applyAlignment="1" pivotButton="0" quotePrefix="0" xfId="0">
      <alignment vertical="top"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ables/table1.xml><?xml version="1.0" encoding="utf-8"?>
<table xmlns="http://schemas.openxmlformats.org/spreadsheetml/2006/main" id="1" name="QuyTac" displayName="QuyTac" ref="A1:M60" headerRowCount="1">
  <autoFilter ref="A1:M60"/>
  <tableColumns count="13">
    <tableColumn id="1" name="STT"/>
    <tableColumn id="2" name="Bảng"/>
    <tableColumn id="3" name="Tên bảng"/>
    <tableColumn id="4" name="Trường bị sửa"/>
    <tableColumn id="5" name="Khi nào bị sửa"/>
    <tableColumn id="6" name="Công cụ tự sửa thế nào"/>
    <tableColumn id="7" name="Ví dụ (HIS → Cổng)"/>
    <tableColumn id="8" name="Hậu quả lệch HIS – cổng"/>
    <tableColumn id="9" name="Loại can thiệp"/>
    <tableColumn id="10" name="Mức độ"/>
    <tableColumn id="11" name="Lỗi lập trình kèm theo"/>
    <tableColumn id="12" name="Cách xử lý đúng"/>
    <tableColumn id="13" name="Vị trí mã nguồn"/>
  </tableColumns>
  <tableStyleInfo name="TableStyleLight1" showRowStripes="0"/>
</table>
</file>

<file path=xl/tables/table2.xml><?xml version="1.0" encoding="utf-8"?>
<table xmlns="http://schemas.openxmlformats.org/spreadsheetml/2006/main" id="2" name="MaICD" displayName="MaICD" ref="A1:E34" headerRowCount="1">
  <autoFilter ref="A1:E34"/>
  <tableColumns count="5">
    <tableColumn id="1" name="STT"/>
    <tableColumn id="2" name="Mã trên HIS"/>
    <tableColumn id="3" name="Mã gửi cổng"/>
    <tableColumn id="4" name="Kiểu thay"/>
    <tableColumn id="5" name="Áp dụng ở"/>
  </tableColumns>
  <tableStyleInfo name="TableStyleLight1" showRowStripes="0"/>
</table>
</file>

<file path=xl/tables/table3.xml><?xml version="1.0" encoding="utf-8"?>
<table xmlns="http://schemas.openxmlformats.org/spreadsheetml/2006/main" id="3" name="MaZ" displayName="MaZ" ref="A1:B105" headerRowCount="1">
  <autoFilter ref="A1:B105"/>
  <tableColumns count="2">
    <tableColumn id="1" name="STT"/>
    <tableColumn id="2" name="Mã ICD bị loại khỏi MA_BENH_KT"/>
  </tableColumns>
  <tableStyleInfo name="TableStyleLight1" showRowStripes="0"/>
</table>
</file>

<file path=xl/tables/table4.xml><?xml version="1.0" encoding="utf-8"?>
<table xmlns="http://schemas.openxmlformats.org/spreadsheetml/2006/main" id="4" name="MaVT" displayName="MaVT" ref="A1:C72" headerRowCount="1">
  <autoFilter ref="A1:C72"/>
  <tableColumns count="3">
    <tableColumn id="1" name="STT"/>
    <tableColumn id="2" name="MA_DICH_VU (XML3)"/>
    <tableColumn id="3" name="MA_VAT_TU bị gán khi rỗng"/>
  </tableColumns>
  <tableStyleInfo name="TableStyleLight1" showRowStripes="0"/>
</table>
</file>

<file path=xl/tables/table5.xml><?xml version="1.0" encoding="utf-8"?>
<table xmlns="http://schemas.openxmlformats.org/spreadsheetml/2006/main" id="5" name="TruongKhoa" displayName="TruongKhoa" ref="A1:D53" headerRowCount="1">
  <autoFilter ref="A1:D53"/>
  <tableColumns count="4">
    <tableColumn id="1" name="STT"/>
    <tableColumn id="2" name="Mã khoa"/>
    <tableColumn id="3" name="Mã CCHN bị gán"/>
    <tableColumn id="4" name="Họ tên bị gán (XML7.TEN_BS)"/>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outlinePr summaryBelow="1" summaryRight="1"/>
    <pageSetUpPr/>
  </sheetPr>
  <dimension ref="A1:E29"/>
  <sheetViews>
    <sheetView workbookViewId="0">
      <selection pane="bottomLeft" activeCell="A1" sqref="A1"/>
    </sheetView>
  </sheetViews>
  <sheetFormatPr baseColWidth="8" defaultRowHeight="15"/>
  <cols>
    <col width="34" customWidth="1" min="1" max="1"/>
    <col width="16" customWidth="1" min="2" max="2"/>
    <col width="16" customWidth="1" min="3" max="3"/>
    <col width="16" customWidth="1" min="4" max="4"/>
    <col width="16" customWidth="1" min="5" max="5"/>
  </cols>
  <sheetData>
    <row r="1">
      <c r="A1" s="1" t="inlineStr">
        <is>
          <t>PHÂN TÍCH CHỨC NĂNG "FIXERROR" – TỰ SỬA DỮ LIỆU XML TRƯỚC KHI GỬI CỔNG BHXH</t>
        </is>
      </c>
    </row>
    <row r="3" ht="48" customHeight="1">
      <c r="A3" s="2" t="inlineStr">
        <is>
          <t>Nguồn phân tích</t>
        </is>
      </c>
      <c r="B3" s="3" t="inlineStr">
        <is>
          <t>Mã nguồn C# namespace BVBMHIS.BHYT.HIS4750.FIXERROR (16 tệp: FIX_XML1…15, REF_DATA) – hệ thống khác, không phải Tiền giám định.</t>
        </is>
      </c>
    </row>
    <row r="4" ht="32" customHeight="1">
      <c r="A4" s="2" t="inlineStr">
        <is>
          <t>Cơ chế</t>
        </is>
      </c>
      <c r="B4" s="3" t="inlineStr">
        <is>
          <t>Ngay trước khi tạo XML gửi cổng, chương trình tự sửa giá trị trong BẢN XML. Dữ liệu gốc trên HIS KHÔNG được sửa.</t>
        </is>
      </c>
    </row>
    <row r="5" ht="48" customHeight="1">
      <c r="A5" s="2" t="inlineStr">
        <is>
          <t>Hệ quả chung</t>
        </is>
      </c>
      <c r="B5" s="3" t="inlineStr">
        <is>
          <t>Dữ liệu trên cổng BHXH ≠ dữ liệu trên HIS / bệnh án / giấy tờ đã in cho người bệnh. Khi BHXH giám định, đối chiếu hồ sơ giấy hoặc hậu kiểm, bệnh viện không giải trình được vì "nguồn" và "bản gửi" khác nhau. Lỗi gốc không bao giờ được sửa vì đã bị che trên cổng.</t>
        </is>
      </c>
    </row>
    <row r="6" ht="32" customHeight="1">
      <c r="A6" s="2" t="inlineStr">
        <is>
          <t>Nguyên tắc đúng</t>
        </is>
      </c>
      <c r="B6" s="3" t="inlineStr">
        <is>
          <t>Sửa tại nguồn (HIS) rồi xuất lại; công cụ kiểm tra chỉ được CẢNH BÁO và chặn gửi, không tự sửa nội dung chuyên môn.</t>
        </is>
      </c>
    </row>
    <row r="7" ht="48" customHeight="1">
      <c r="A7" s="2" t="inlineStr">
        <is>
          <t>Chưa xác định</t>
        </is>
      </c>
      <c r="B7" s="3" t="inlineStr">
        <is>
          <t>Giá trị các hằng BHYTConfig.BSKhongDienTT, DuocChuaNhapTT, PVTChuaNhapTT, MA_TTDV… không có trong mã nguồn được cung cấp – ghi là "&lt;chuỗi cấu hình&gt;".</t>
        </is>
      </c>
    </row>
    <row r="8" ht="32" customHeight="1">
      <c r="A8" s="2" t="inlineStr">
        <is>
          <t>Không sửa gì</t>
        </is>
      </c>
      <c r="B8" s="3" t="inlineStr">
        <is>
          <t>XML6 (HIV), XML10 (nghỉ dưỡng thai), XML12 (giám định y khoa), XML15 (điều trị lao): hàm có nhưng để trống.</t>
        </is>
      </c>
    </row>
    <row r="11">
      <c r="A11" s="4" t="inlineStr">
        <is>
          <t>THỐNG KÊ QUY TẮC TỰ SỬA</t>
        </is>
      </c>
    </row>
    <row r="12">
      <c r="A12" s="5" t="inlineStr">
        <is>
          <t>Bảng XML</t>
        </is>
      </c>
      <c r="B12" s="6" t="inlineStr">
        <is>
          <t>Nghiêm trọng</t>
        </is>
      </c>
      <c r="C12" s="7" t="inlineStr">
        <is>
          <t>Cao</t>
        </is>
      </c>
      <c r="D12" s="8" t="inlineStr">
        <is>
          <t>Trung bình</t>
        </is>
      </c>
      <c r="E12" s="5" t="inlineStr">
        <is>
          <t>Tổng</t>
        </is>
      </c>
    </row>
    <row r="13">
      <c r="A13" s="9" t="inlineStr">
        <is>
          <t>XML1</t>
        </is>
      </c>
      <c r="B13" s="10">
        <f>COUNTIFS('Chi tiet quy tac'!$B$2:$B$60,$A13,'Chi tiet quy tac'!$J$2:$J$60,B$12)</f>
        <v/>
      </c>
      <c r="C13" s="10">
        <f>COUNTIFS('Chi tiet quy tac'!$B$2:$B$60,$A13,'Chi tiet quy tac'!$J$2:$J$60,C$12)</f>
        <v/>
      </c>
      <c r="D13" s="10">
        <f>COUNTIFS('Chi tiet quy tac'!$B$2:$B$60,$A13,'Chi tiet quy tac'!$J$2:$J$60,D$12)</f>
        <v/>
      </c>
      <c r="E13" s="10">
        <f>SUM(B13:D13)</f>
        <v/>
      </c>
    </row>
    <row r="14">
      <c r="A14" s="9" t="inlineStr">
        <is>
          <t>XML2</t>
        </is>
      </c>
      <c r="B14" s="10">
        <f>COUNTIFS('Chi tiet quy tac'!$B$2:$B$60,$A14,'Chi tiet quy tac'!$J$2:$J$60,B$12)</f>
        <v/>
      </c>
      <c r="C14" s="10">
        <f>COUNTIFS('Chi tiet quy tac'!$B$2:$B$60,$A14,'Chi tiet quy tac'!$J$2:$J$60,C$12)</f>
        <v/>
      </c>
      <c r="D14" s="10">
        <f>COUNTIFS('Chi tiet quy tac'!$B$2:$B$60,$A14,'Chi tiet quy tac'!$J$2:$J$60,D$12)</f>
        <v/>
      </c>
      <c r="E14" s="10">
        <f>SUM(B14:D14)</f>
        <v/>
      </c>
    </row>
    <row r="15">
      <c r="A15" s="9" t="inlineStr">
        <is>
          <t>XML3</t>
        </is>
      </c>
      <c r="B15" s="10">
        <f>COUNTIFS('Chi tiet quy tac'!$B$2:$B$60,$A15,'Chi tiet quy tac'!$J$2:$J$60,B$12)</f>
        <v/>
      </c>
      <c r="C15" s="10">
        <f>COUNTIFS('Chi tiet quy tac'!$B$2:$B$60,$A15,'Chi tiet quy tac'!$J$2:$J$60,C$12)</f>
        <v/>
      </c>
      <c r="D15" s="10">
        <f>COUNTIFS('Chi tiet quy tac'!$B$2:$B$60,$A15,'Chi tiet quy tac'!$J$2:$J$60,D$12)</f>
        <v/>
      </c>
      <c r="E15" s="10">
        <f>SUM(B15:D15)</f>
        <v/>
      </c>
    </row>
    <row r="16">
      <c r="A16" s="9" t="inlineStr">
        <is>
          <t>XML4</t>
        </is>
      </c>
      <c r="B16" s="10">
        <f>COUNTIFS('Chi tiet quy tac'!$B$2:$B$60,$A16,'Chi tiet quy tac'!$J$2:$J$60,B$12)</f>
        <v/>
      </c>
      <c r="C16" s="10">
        <f>COUNTIFS('Chi tiet quy tac'!$B$2:$B$60,$A16,'Chi tiet quy tac'!$J$2:$J$60,C$12)</f>
        <v/>
      </c>
      <c r="D16" s="10">
        <f>COUNTIFS('Chi tiet quy tac'!$B$2:$B$60,$A16,'Chi tiet quy tac'!$J$2:$J$60,D$12)</f>
        <v/>
      </c>
      <c r="E16" s="10">
        <f>SUM(B16:D16)</f>
        <v/>
      </c>
    </row>
    <row r="17">
      <c r="A17" s="9" t="inlineStr">
        <is>
          <t>XML5</t>
        </is>
      </c>
      <c r="B17" s="10">
        <f>COUNTIFS('Chi tiet quy tac'!$B$2:$B$60,$A17,'Chi tiet quy tac'!$J$2:$J$60,B$12)</f>
        <v/>
      </c>
      <c r="C17" s="10">
        <f>COUNTIFS('Chi tiet quy tac'!$B$2:$B$60,$A17,'Chi tiet quy tac'!$J$2:$J$60,C$12)</f>
        <v/>
      </c>
      <c r="D17" s="10">
        <f>COUNTIFS('Chi tiet quy tac'!$B$2:$B$60,$A17,'Chi tiet quy tac'!$J$2:$J$60,D$12)</f>
        <v/>
      </c>
      <c r="E17" s="10">
        <f>SUM(B17:D17)</f>
        <v/>
      </c>
    </row>
    <row r="18">
      <c r="A18" s="9" t="inlineStr">
        <is>
          <t>XML7</t>
        </is>
      </c>
      <c r="B18" s="10">
        <f>COUNTIFS('Chi tiet quy tac'!$B$2:$B$60,$A18,'Chi tiet quy tac'!$J$2:$J$60,B$12)</f>
        <v/>
      </c>
      <c r="C18" s="10">
        <f>COUNTIFS('Chi tiet quy tac'!$B$2:$B$60,$A18,'Chi tiet quy tac'!$J$2:$J$60,C$12)</f>
        <v/>
      </c>
      <c r="D18" s="10">
        <f>COUNTIFS('Chi tiet quy tac'!$B$2:$B$60,$A18,'Chi tiet quy tac'!$J$2:$J$60,D$12)</f>
        <v/>
      </c>
      <c r="E18" s="10">
        <f>SUM(B18:D18)</f>
        <v/>
      </c>
    </row>
    <row r="19">
      <c r="A19" s="9" t="inlineStr">
        <is>
          <t>XML8</t>
        </is>
      </c>
      <c r="B19" s="10">
        <f>COUNTIFS('Chi tiet quy tac'!$B$2:$B$60,$A19,'Chi tiet quy tac'!$J$2:$J$60,B$12)</f>
        <v/>
      </c>
      <c r="C19" s="10">
        <f>COUNTIFS('Chi tiet quy tac'!$B$2:$B$60,$A19,'Chi tiet quy tac'!$J$2:$J$60,C$12)</f>
        <v/>
      </c>
      <c r="D19" s="10">
        <f>COUNTIFS('Chi tiet quy tac'!$B$2:$B$60,$A19,'Chi tiet quy tac'!$J$2:$J$60,D$12)</f>
        <v/>
      </c>
      <c r="E19" s="10">
        <f>SUM(B19:D19)</f>
        <v/>
      </c>
    </row>
    <row r="20">
      <c r="A20" s="9" t="inlineStr">
        <is>
          <t>XML9</t>
        </is>
      </c>
      <c r="B20" s="10">
        <f>COUNTIFS('Chi tiet quy tac'!$B$2:$B$60,$A20,'Chi tiet quy tac'!$J$2:$J$60,B$12)</f>
        <v/>
      </c>
      <c r="C20" s="10">
        <f>COUNTIFS('Chi tiet quy tac'!$B$2:$B$60,$A20,'Chi tiet quy tac'!$J$2:$J$60,C$12)</f>
        <v/>
      </c>
      <c r="D20" s="10">
        <f>COUNTIFS('Chi tiet quy tac'!$B$2:$B$60,$A20,'Chi tiet quy tac'!$J$2:$J$60,D$12)</f>
        <v/>
      </c>
      <c r="E20" s="10">
        <f>SUM(B20:D20)</f>
        <v/>
      </c>
    </row>
    <row r="21">
      <c r="A21" s="9" t="inlineStr">
        <is>
          <t>XML11</t>
        </is>
      </c>
      <c r="B21" s="10">
        <f>COUNTIFS('Chi tiet quy tac'!$B$2:$B$60,$A21,'Chi tiet quy tac'!$J$2:$J$60,B$12)</f>
        <v/>
      </c>
      <c r="C21" s="10">
        <f>COUNTIFS('Chi tiet quy tac'!$B$2:$B$60,$A21,'Chi tiet quy tac'!$J$2:$J$60,C$12)</f>
        <v/>
      </c>
      <c r="D21" s="10">
        <f>COUNTIFS('Chi tiet quy tac'!$B$2:$B$60,$A21,'Chi tiet quy tac'!$J$2:$J$60,D$12)</f>
        <v/>
      </c>
      <c r="E21" s="10">
        <f>SUM(B21:D21)</f>
        <v/>
      </c>
    </row>
    <row r="22">
      <c r="A22" s="9" t="inlineStr">
        <is>
          <t>XML13</t>
        </is>
      </c>
      <c r="B22" s="10">
        <f>COUNTIFS('Chi tiet quy tac'!$B$2:$B$60,$A22,'Chi tiet quy tac'!$J$2:$J$60,B$12)</f>
        <v/>
      </c>
      <c r="C22" s="10">
        <f>COUNTIFS('Chi tiet quy tac'!$B$2:$B$60,$A22,'Chi tiet quy tac'!$J$2:$J$60,C$12)</f>
        <v/>
      </c>
      <c r="D22" s="10">
        <f>COUNTIFS('Chi tiet quy tac'!$B$2:$B$60,$A22,'Chi tiet quy tac'!$J$2:$J$60,D$12)</f>
        <v/>
      </c>
      <c r="E22" s="10">
        <f>SUM(B22:D22)</f>
        <v/>
      </c>
    </row>
    <row r="23">
      <c r="A23" s="9" t="inlineStr">
        <is>
          <t>XML14</t>
        </is>
      </c>
      <c r="B23" s="10">
        <f>COUNTIFS('Chi tiet quy tac'!$B$2:$B$60,$A23,'Chi tiet quy tac'!$J$2:$J$60,B$12)</f>
        <v/>
      </c>
      <c r="C23" s="10">
        <f>COUNTIFS('Chi tiet quy tac'!$B$2:$B$60,$A23,'Chi tiet quy tac'!$J$2:$J$60,C$12)</f>
        <v/>
      </c>
      <c r="D23" s="10">
        <f>COUNTIFS('Chi tiet quy tac'!$B$2:$B$60,$A23,'Chi tiet quy tac'!$J$2:$J$60,D$12)</f>
        <v/>
      </c>
      <c r="E23" s="10">
        <f>SUM(B23:D23)</f>
        <v/>
      </c>
    </row>
    <row r="24">
      <c r="A24" s="11" t="inlineStr">
        <is>
          <t>Tổng cộng</t>
        </is>
      </c>
      <c r="B24" s="12">
        <f>SUM(B13:B23)</f>
        <v/>
      </c>
      <c r="C24" s="12">
        <f>SUM(C13:C23)</f>
        <v/>
      </c>
      <c r="D24" s="12">
        <f>SUM(D13:D23)</f>
        <v/>
      </c>
      <c r="E24" s="12">
        <f>SUM(E13:E23)</f>
        <v/>
      </c>
    </row>
    <row r="26">
      <c r="A26" s="13" t="inlineStr">
        <is>
          <t>Mức độ</t>
        </is>
      </c>
    </row>
    <row r="27">
      <c r="A27" s="14" t="inlineStr">
        <is>
          <t>Nghiêm trọng</t>
        </is>
      </c>
      <c r="B27" s="15" t="inlineStr">
        <is>
          <t>Bịa/đổi dữ liệu chuyên môn hoặc người chịu trách nhiệm; ảnh hưởng quyền lợi, thanh toán, pháp lý.</t>
        </is>
      </c>
    </row>
    <row r="28">
      <c r="A28" s="16" t="inlineStr">
        <is>
          <t>Cao</t>
        </is>
      </c>
      <c r="B28" s="15" t="inlineStr">
        <is>
          <t>Thay đổi nội dung so với HIS, dữ liệu giả không có giá trị.</t>
        </is>
      </c>
    </row>
    <row r="29">
      <c r="A29" s="17" t="inlineStr">
        <is>
          <t>Trung bình</t>
        </is>
      </c>
      <c r="B29" s="15" t="inlineStr">
        <is>
          <t>Chuẩn hoá định dạng / cắt chuỗi / lệch nhỏ.</t>
        </is>
      </c>
    </row>
  </sheetData>
  <mergeCells count="9">
    <mergeCell ref="B27:E27"/>
    <mergeCell ref="B8:E8"/>
    <mergeCell ref="B4:E4"/>
    <mergeCell ref="B6:E6"/>
    <mergeCell ref="B29:E29"/>
    <mergeCell ref="B7:E7"/>
    <mergeCell ref="B3:E3"/>
    <mergeCell ref="B5:E5"/>
    <mergeCell ref="B28:E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0"/>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8" customWidth="1" min="3" max="3"/>
    <col width="22" customWidth="1" min="4" max="4"/>
    <col width="24" customWidth="1" min="5" max="5"/>
    <col width="38" customWidth="1" min="6" max="6"/>
    <col width="26" customWidth="1" min="7" max="7"/>
    <col width="44" customWidth="1" min="8" max="8"/>
    <col width="14" customWidth="1" min="9" max="9"/>
    <col width="12" customWidth="1" min="10" max="10"/>
    <col width="34" customWidth="1" min="11" max="11"/>
    <col width="30" customWidth="1" min="12" max="12"/>
    <col width="16" customWidth="1" min="13" max="13"/>
  </cols>
  <sheetData>
    <row r="1">
      <c r="A1" s="5" t="inlineStr">
        <is>
          <t>STT</t>
        </is>
      </c>
      <c r="B1" s="5" t="inlineStr">
        <is>
          <t>Bảng</t>
        </is>
      </c>
      <c r="C1" s="5" t="inlineStr">
        <is>
          <t>Tên bảng</t>
        </is>
      </c>
      <c r="D1" s="5" t="inlineStr">
        <is>
          <t>Trường bị sửa</t>
        </is>
      </c>
      <c r="E1" s="5" t="inlineStr">
        <is>
          <t>Khi nào bị sửa</t>
        </is>
      </c>
      <c r="F1" s="5" t="inlineStr">
        <is>
          <t>Công cụ tự sửa thế nào</t>
        </is>
      </c>
      <c r="G1" s="5" t="inlineStr">
        <is>
          <t>Ví dụ (HIS → Cổng)</t>
        </is>
      </c>
      <c r="H1" s="5" t="inlineStr">
        <is>
          <t>Hậu quả lệch HIS – cổng</t>
        </is>
      </c>
      <c r="I1" s="5" t="inlineStr">
        <is>
          <t>Loại can thiệp</t>
        </is>
      </c>
      <c r="J1" s="5" t="inlineStr">
        <is>
          <t>Mức độ</t>
        </is>
      </c>
      <c r="K1" s="5" t="inlineStr">
        <is>
          <t>Lỗi lập trình kèm theo</t>
        </is>
      </c>
      <c r="L1" s="5" t="inlineStr">
        <is>
          <t>Cách xử lý đúng</t>
        </is>
      </c>
      <c r="M1" s="5" t="inlineStr">
        <is>
          <t>Vị trí mã nguồn</t>
        </is>
      </c>
    </row>
    <row r="2">
      <c r="A2" s="18" t="n">
        <v>1</v>
      </c>
      <c r="B2" s="18" t="inlineStr">
        <is>
          <t>XML1</t>
        </is>
      </c>
      <c r="C2" s="18" t="inlineStr">
        <is>
          <t>XML1 – Tổng hợp KCB</t>
        </is>
      </c>
      <c r="D2" s="18" t="inlineStr">
        <is>
          <t>MA_KHUVUC</t>
        </is>
      </c>
      <c r="E2" s="18" t="inlineStr">
        <is>
          <t>Giá trị không chứa chữ "K"</t>
        </is>
      </c>
      <c r="F2" s="18" t="inlineStr">
        <is>
          <t>Xoá thành rỗng</t>
        </is>
      </c>
      <c r="G2" s="18" t="inlineStr">
        <is>
          <t>HIS: "1" → Cổng: ""</t>
        </is>
      </c>
      <c r="H2" s="18" t="inlineStr">
        <is>
          <t>Mất thông tin khu vực (K1/K2/K3) – liên quan quyền lợi hưởng; HIS vẫn lưu giá trị cũ.</t>
        </is>
      </c>
      <c r="I2" s="18" t="inlineStr">
        <is>
          <t>Xoá dữ liệu</t>
        </is>
      </c>
      <c r="J2" s="19" t="inlineStr">
        <is>
          <t>Trung bình</t>
        </is>
      </c>
      <c r="K2" s="18" t="inlineStr"/>
      <c r="L2" s="18" t="inlineStr">
        <is>
          <t>Khoa/người nhập sửa trên HIS rồi xuất lại; công cụ chỉ được CẢNH BÁO, không tự sửa.</t>
        </is>
      </c>
      <c r="M2" s="18" t="inlineStr">
        <is>
          <t>FIX_XML1.cs:19</t>
        </is>
      </c>
    </row>
    <row r="3">
      <c r="A3" s="18" t="n">
        <v>2</v>
      </c>
      <c r="B3" s="18" t="inlineStr">
        <is>
          <t>XML1</t>
        </is>
      </c>
      <c r="C3" s="18" t="inlineStr">
        <is>
          <t>XML1 – Tổng hợp KCB</t>
        </is>
      </c>
      <c r="D3" s="18" t="inlineStr">
        <is>
          <t>MATINH_CU_TRU</t>
        </is>
      </c>
      <c r="E3" s="18" t="inlineStr">
        <is>
          <t>Rỗng</t>
        </is>
      </c>
      <c r="F3" s="18" t="inlineStr">
        <is>
          <t>Gán cứng "01" (Hà Nội)</t>
        </is>
      </c>
      <c r="G3" s="18" t="inlineStr">
        <is>
          <t>HIS: "" → Cổng: "01"</t>
        </is>
      </c>
      <c r="H3" s="18" t="inlineStr">
        <is>
          <t>Mọi BN thiếu tỉnh đều thành cư trú Hà Nội trên cổng; thống kê/đối chiếu nơi cư trú sai.</t>
        </is>
      </c>
      <c r="I3" s="18" t="inlineStr">
        <is>
          <t>Bịa giá trị</t>
        </is>
      </c>
      <c r="J3" s="20" t="inlineStr">
        <is>
          <t>Cao</t>
        </is>
      </c>
      <c r="K3" s="18" t="inlineStr"/>
      <c r="L3" s="18" t="inlineStr">
        <is>
          <t>Khoa/người nhập sửa trên HIS rồi xuất lại; công cụ chỉ được CẢNH BÁO, không tự sửa.</t>
        </is>
      </c>
      <c r="M3" s="18" t="inlineStr">
        <is>
          <t>FIX_XML1.cs:23</t>
        </is>
      </c>
    </row>
    <row r="4">
      <c r="A4" s="18" t="n">
        <v>3</v>
      </c>
      <c r="B4" s="18" t="inlineStr">
        <is>
          <t>XML1</t>
        </is>
      </c>
      <c r="C4" s="18" t="inlineStr">
        <is>
          <t>XML1 – Tổng hợp KCB</t>
        </is>
      </c>
      <c r="D4" s="18" t="inlineStr">
        <is>
          <t>MATINH_CU_TRU</t>
        </is>
      </c>
      <c r="E4" s="18" t="inlineStr">
        <is>
          <t>Độ dài ≥ 3 ký tự</t>
        </is>
      </c>
      <c r="F4" s="18" t="inlineStr">
        <is>
          <t>Lấy ký tự thứ 2–3 (Substring(1,2))</t>
        </is>
      </c>
      <c r="G4" s="18" t="inlineStr">
        <is>
          <t>HIS: "001" → Cổng: "01"</t>
        </is>
      </c>
      <c r="H4" s="18" t="inlineStr">
        <is>
          <t>Đổi mã so với HIS; nếu mã 3 ký tự không bắt đầu bằng 0 sẽ ra tỉnh khác.</t>
        </is>
      </c>
      <c r="I4" s="18" t="inlineStr">
        <is>
          <t>Thay mã</t>
        </is>
      </c>
      <c r="J4" s="19" t="inlineStr">
        <is>
          <t>Trung bình</t>
        </is>
      </c>
      <c r="K4" s="18" t="inlineStr"/>
      <c r="L4" s="18" t="inlineStr">
        <is>
          <t>Chuẩn hoá danh mục tỉnh trên HIS.</t>
        </is>
      </c>
      <c r="M4" s="18" t="inlineStr">
        <is>
          <t>FIX_XML1.cs:32</t>
        </is>
      </c>
    </row>
    <row r="5">
      <c r="A5" s="18" t="n">
        <v>4</v>
      </c>
      <c r="B5" s="18" t="inlineStr">
        <is>
          <t>XML1</t>
        </is>
      </c>
      <c r="C5" s="18" t="inlineStr">
        <is>
          <t>XML1 – Tổng hợp KCB</t>
        </is>
      </c>
      <c r="D5" s="18" t="inlineStr">
        <is>
          <t>DIA_CHI</t>
        </is>
      </c>
      <c r="E5" s="18" t="inlineStr">
        <is>
          <t>Rỗng</t>
        </is>
      </c>
      <c r="F5" s="18" t="inlineStr">
        <is>
          <t>Ghép ".,&lt;xã&gt;,&lt;huyện&gt;,&lt;tỉnh&gt;" từ danh mục ĐVHC; không khớp thì ra ".,,,"</t>
        </is>
      </c>
      <c r="G5" s="18" t="inlineStr">
        <is>
          <t>HIS: "" → Cổng: ".,Phường X,Quận Y,Hà Nội" hoặc ".,,,"</t>
        </is>
      </c>
      <c r="H5" s="18" t="inlineStr">
        <is>
          <t>Địa chỉ trên cổng không do người nhập khai; có thể ghép từ tỉnh "01" vừa bịa ở dòng trên.</t>
        </is>
      </c>
      <c r="I5" s="18" t="inlineStr">
        <is>
          <t>Bịa giá trị</t>
        </is>
      </c>
      <c r="J5" s="20" t="inlineStr">
        <is>
          <t>Cao</t>
        </is>
      </c>
      <c r="K5" s="18" t="inlineStr"/>
      <c r="L5" s="18" t="inlineStr">
        <is>
          <t>Khoa/người nhập sửa trên HIS rồi xuất lại; công cụ chỉ được CẢNH BÁO, không tự sửa.</t>
        </is>
      </c>
      <c r="M5" s="18" t="inlineStr">
        <is>
          <t>FIX_XML1.cs:50</t>
        </is>
      </c>
    </row>
    <row r="6">
      <c r="A6" s="18" t="n">
        <v>5</v>
      </c>
      <c r="B6" s="18" t="inlineStr">
        <is>
          <t>XML1</t>
        </is>
      </c>
      <c r="C6" s="18" t="inlineStr">
        <is>
          <t>XML1 – Tổng hợp KCB</t>
        </is>
      </c>
      <c r="D6" s="18" t="inlineStr">
        <is>
          <t>LY_DO_VV</t>
        </is>
      </c>
      <c r="E6" s="18" t="inlineStr">
        <is>
          <t>Rỗng</t>
        </is>
      </c>
      <c r="F6" s="18" t="inlineStr">
        <is>
          <t>Gán chữ "LY_DO_VV"</t>
        </is>
      </c>
      <c r="G6" s="18" t="inlineStr">
        <is>
          <t>HIS: "" → Cổng: "LY_DO_VV"</t>
        </is>
      </c>
      <c r="H6" s="18" t="inlineStr">
        <is>
          <t>Lý do vào viện trên cổng là chữ vô nghĩa; HIS trống.</t>
        </is>
      </c>
      <c r="I6" s="18" t="inlineStr">
        <is>
          <t>Bịa giá trị</t>
        </is>
      </c>
      <c r="J6" s="20" t="inlineStr">
        <is>
          <t>Cao</t>
        </is>
      </c>
      <c r="K6" s="18" t="inlineStr"/>
      <c r="L6" s="18" t="inlineStr">
        <is>
          <t>Khoa/người nhập sửa trên HIS rồi xuất lại; công cụ chỉ được CẢNH BÁO, không tự sửa.</t>
        </is>
      </c>
      <c r="M6" s="18" t="inlineStr">
        <is>
          <t>FIX_XML1.cs:68</t>
        </is>
      </c>
    </row>
    <row r="7">
      <c r="A7" s="18" t="n">
        <v>6</v>
      </c>
      <c r="B7" s="18" t="inlineStr">
        <is>
          <t>XML1</t>
        </is>
      </c>
      <c r="C7" s="18" t="inlineStr">
        <is>
          <t>XML1 – Tổng hợp KCB</t>
        </is>
      </c>
      <c r="D7" s="18" t="inlineStr">
        <is>
          <t>LY_DO_VNT</t>
        </is>
      </c>
      <c r="E7" s="18" t="inlineStr">
        <is>
          <t>MA_LY_DO_VNT rỗng</t>
        </is>
      </c>
      <c r="F7" s="18" t="inlineStr">
        <is>
          <t>Ghi đè LY_DO_VNT bằng 5 ký tự đầu của MA_BENH_CHINH</t>
        </is>
      </c>
      <c r="G7" s="18" t="inlineStr">
        <is>
          <t>HIS: "Đau bụng cấp" → Cổng: "K35.8"</t>
        </is>
      </c>
      <c r="H7" s="18" t="inlineStr">
        <is>
          <t>Ghi đè cả khi LY_DO_VNT đã có nội dung bác sĩ nhập → mất nội dung thật, thay bằng mã bệnh.</t>
        </is>
      </c>
      <c r="I7" s="18" t="inlineStr">
        <is>
          <t>Ghi đè dữ liệu</t>
        </is>
      </c>
      <c r="J7" s="20" t="inlineStr">
        <is>
          <t>Cao</t>
        </is>
      </c>
      <c r="K7" s="18" t="inlineStr">
        <is>
          <t>Kiểm tra MA_LY_DO_VNT nhưng ghi đè LY_DO_VNT, không xét LY_DO_VNT đã có giá trị hay chưa.</t>
        </is>
      </c>
      <c r="L7" s="18" t="inlineStr">
        <is>
          <t>Khoa/người nhập sửa trên HIS rồi xuất lại; công cụ chỉ được CẢNH BÁO, không tự sửa.</t>
        </is>
      </c>
      <c r="M7" s="18" t="inlineStr">
        <is>
          <t>FIX_XML1.cs:72</t>
        </is>
      </c>
    </row>
    <row r="8">
      <c r="A8" s="18" t="n">
        <v>7</v>
      </c>
      <c r="B8" s="18" t="inlineStr">
        <is>
          <t>XML1</t>
        </is>
      </c>
      <c r="C8" s="18" t="inlineStr">
        <is>
          <t>XML1 – Tổng hợp KCB</t>
        </is>
      </c>
      <c r="D8" s="18" t="inlineStr">
        <is>
          <t>LY_DO_VNT</t>
        </is>
      </c>
      <c r="E8" s="18" t="inlineStr">
        <is>
          <t>Vẫn rỗng sau bước trên</t>
        </is>
      </c>
      <c r="F8" s="18" t="inlineStr">
        <is>
          <t>Gán chữ "LY_DO_VNT"</t>
        </is>
      </c>
      <c r="G8" s="18" t="inlineStr">
        <is>
          <t>HIS: "" → Cổng: "LY_DO_VNT"</t>
        </is>
      </c>
      <c r="H8" s="18" t="inlineStr">
        <is>
          <t>Dữ liệu giả.</t>
        </is>
      </c>
      <c r="I8" s="18" t="inlineStr">
        <is>
          <t>Bịa giá trị</t>
        </is>
      </c>
      <c r="J8" s="20" t="inlineStr">
        <is>
          <t>Cao</t>
        </is>
      </c>
      <c r="K8" s="18" t="inlineStr"/>
      <c r="L8" s="18" t="inlineStr">
        <is>
          <t>Khoa/người nhập sửa trên HIS rồi xuất lại; công cụ chỉ được CẢNH BÁO, không tự sửa.</t>
        </is>
      </c>
      <c r="M8" s="18" t="inlineStr">
        <is>
          <t>FIX_XML1.cs:83</t>
        </is>
      </c>
    </row>
    <row r="9">
      <c r="A9" s="18" t="n">
        <v>8</v>
      </c>
      <c r="B9" s="18" t="inlineStr">
        <is>
          <t>XML1</t>
        </is>
      </c>
      <c r="C9" s="18" t="inlineStr">
        <is>
          <t>XML1 – Tổng hợp KCB</t>
        </is>
      </c>
      <c r="D9" s="18" t="inlineStr">
        <is>
          <t>MA_NGHE_NGHIEP</t>
        </is>
      </c>
      <c r="E9" s="18" t="inlineStr">
        <is>
          <t>Rỗng</t>
        </is>
      </c>
      <c r="F9" s="18" t="inlineStr">
        <is>
          <t>Gán "00"</t>
        </is>
      </c>
      <c r="G9" s="18" t="inlineStr">
        <is>
          <t>HIS: "" → Cổng: "00"</t>
        </is>
      </c>
      <c r="H9" s="18" t="inlineStr">
        <is>
          <t>Cổng nhận mã nghề mặc định, HIS trống.</t>
        </is>
      </c>
      <c r="I9" s="18" t="inlineStr">
        <is>
          <t>Bịa giá trị</t>
        </is>
      </c>
      <c r="J9" s="19" t="inlineStr">
        <is>
          <t>Trung bình</t>
        </is>
      </c>
      <c r="K9" s="18" t="inlineStr"/>
      <c r="L9" s="18" t="inlineStr">
        <is>
          <t>Khoa/người nhập sửa trên HIS rồi xuất lại; công cụ chỉ được CẢNH BÁO, không tự sửa.</t>
        </is>
      </c>
      <c r="M9" s="18" t="inlineStr">
        <is>
          <t>FIX_XML1.cs:88</t>
        </is>
      </c>
    </row>
    <row r="10">
      <c r="A10" s="18" t="n">
        <v>9</v>
      </c>
      <c r="B10" s="18" t="inlineStr">
        <is>
          <t>XML1</t>
        </is>
      </c>
      <c r="C10" s="18" t="inlineStr">
        <is>
          <t>XML1 – Tổng hợp KCB</t>
        </is>
      </c>
      <c r="D10" s="18" t="inlineStr">
        <is>
          <t>CAN_NANG</t>
        </is>
      </c>
      <c r="E10" s="18" t="inlineStr">
        <is>
          <t>Rỗng</t>
        </is>
      </c>
      <c r="F10" s="18" t="inlineStr">
        <is>
          <t>Bịa cân nặng theo tuổi: ≤1 tuổi = 5 kg; 2 tuổi = 13; 3 = 14 … 17 tuổi = 40; ≥18 tuổi = 45 kg</t>
        </is>
      </c>
      <c r="G10" s="18" t="inlineStr">
        <is>
          <t>BN 70 tuổi, HIS: "" → Cổng: "45"</t>
        </is>
      </c>
      <c r="H10" s="18" t="inlineStr">
        <is>
          <t>Chỉ số lâm sàng bịa đặt. Cổng giám định liều thuốc/kg, truyền dịch… dựa trên số giả → kết quả giám định sai, HIS không có số này.</t>
        </is>
      </c>
      <c r="I10" s="18" t="inlineStr">
        <is>
          <t>Bịa giá trị</t>
        </is>
      </c>
      <c r="J10" s="21" t="inlineStr">
        <is>
          <t>Nghiêm trọng</t>
        </is>
      </c>
      <c r="K10" s="18" t="inlineStr">
        <is>
          <t>Tuổi = năm hiện tại − năm sinh (không theo ngày vào viện). Không đọc được ngày sinh → năm sinh = 0 → luôn 45 kg.</t>
        </is>
      </c>
      <c r="L10" s="18" t="inlineStr">
        <is>
          <t>Khoa/người nhập sửa trên HIS rồi xuất lại; công cụ chỉ được CẢNH BÁO, không tự sửa.</t>
        </is>
      </c>
      <c r="M10" s="18" t="inlineStr">
        <is>
          <t>FIX_XML1.cs:111</t>
        </is>
      </c>
    </row>
    <row r="11">
      <c r="A11" s="18" t="n">
        <v>10</v>
      </c>
      <c r="B11" s="18" t="inlineStr">
        <is>
          <t>XML1</t>
        </is>
      </c>
      <c r="C11" s="18" t="inlineStr">
        <is>
          <t>XML1 – Tổng hợp KCB</t>
        </is>
      </c>
      <c r="D11" s="18" t="inlineStr">
        <is>
          <t>CAN_NANG</t>
        </is>
      </c>
      <c r="E11" s="18" t="inlineStr">
        <is>
          <t>&gt; 1000</t>
        </is>
      </c>
      <c r="F11" s="18" t="inlineStr">
        <is>
          <t>Chia 1000 (giả định nhập gam)</t>
        </is>
      </c>
      <c r="G11" s="18" t="inlineStr">
        <is>
          <t>HIS: "3200" → Cổng: "3.20"</t>
        </is>
      </c>
      <c r="H11" s="18" t="inlineStr">
        <is>
          <t>Đổi số liệu so với HIS.</t>
        </is>
      </c>
      <c r="I11" s="18" t="inlineStr">
        <is>
          <t>Đổi đơn vị</t>
        </is>
      </c>
      <c r="J11" s="19" t="inlineStr">
        <is>
          <t>Trung bình</t>
        </is>
      </c>
      <c r="K11" s="18" t="inlineStr"/>
      <c r="L11" s="18" t="inlineStr">
        <is>
          <t>Sửa tại nguồn nhập liệu.</t>
        </is>
      </c>
      <c r="M11" s="18" t="inlineStr">
        <is>
          <t>FIX_XML1.cs:181</t>
        </is>
      </c>
    </row>
    <row r="12">
      <c r="A12" s="18" t="n">
        <v>11</v>
      </c>
      <c r="B12" s="18" t="inlineStr">
        <is>
          <t>XML1</t>
        </is>
      </c>
      <c r="C12" s="18" t="inlineStr">
        <is>
          <t>XML1 – Tổng hợp KCB</t>
        </is>
      </c>
      <c r="D12" s="18" t="inlineStr">
        <is>
          <t>CAN_NANG_CON</t>
        </is>
      </c>
      <c r="E12" s="18" t="inlineStr">
        <is>
          <t>Có giá trị</t>
        </is>
      </c>
      <c r="F12" s="18" t="inlineStr">
        <is>
          <t>Làm tròn thành số nguyên</t>
        </is>
      </c>
      <c r="G12" s="18" t="inlineStr">
        <is>
          <t>HIS: "3250.6" → Cổng: "3251"</t>
        </is>
      </c>
      <c r="H12" s="18" t="inlineStr">
        <is>
          <t>Lệch nhỏ.</t>
        </is>
      </c>
      <c r="I12" s="18" t="inlineStr">
        <is>
          <t>Định dạng</t>
        </is>
      </c>
      <c r="J12" s="19" t="inlineStr">
        <is>
          <t>Trung bình</t>
        </is>
      </c>
      <c r="K12" s="18" t="inlineStr"/>
      <c r="L12" s="18" t="inlineStr"/>
      <c r="M12" s="18" t="inlineStr">
        <is>
          <t>FIX_XML1.cs:195</t>
        </is>
      </c>
    </row>
    <row r="13">
      <c r="A13" s="18" t="n">
        <v>12</v>
      </c>
      <c r="B13" s="18" t="inlineStr">
        <is>
          <t>XML1</t>
        </is>
      </c>
      <c r="C13" s="18" t="inlineStr">
        <is>
          <t>XML1 – Tổng hợp KCB</t>
        </is>
      </c>
      <c r="D13" s="18" t="inlineStr">
        <is>
          <t>MA_BENH_CHINH, MA_BENH_KT</t>
        </is>
      </c>
      <c r="E13" s="18" t="inlineStr">
        <is>
          <t>Luôn chạy</t>
        </is>
      </c>
      <c r="F13" s="18" t="inlineStr">
        <is>
          <t>Thay chuỗi con 6 mã: U62.152→M15; A91→A90; I84→K64; N18.0→N18; U58.091→I10; U55.561→G51</t>
        </is>
      </c>
      <c r="G13" s="18" t="inlineStr">
        <is>
          <t>HIS: "A91" (SXH Dengue) → Cổng: "A90" (Sốt Dengue)</t>
        </is>
      </c>
      <c r="H13" s="18" t="inlineStr">
        <is>
          <t>ĐỔI CHẨN ĐOÁN mà bác sĩ không biết. Chẩn đoán trên HIS/bệnh án ≠ chẩn đoán trên cổng → không đối chiếu được, căn cứ chỉ định DVKT/thuốc có thể không còn phù hợp.</t>
        </is>
      </c>
      <c r="I13" s="18" t="inlineStr">
        <is>
          <t>Thay mã ICD</t>
        </is>
      </c>
      <c r="J13" s="21" t="inlineStr">
        <is>
          <t>Nghiêm trọng</t>
        </is>
      </c>
      <c r="K13" s="18" t="inlineStr">
        <is>
          <t>Dùng Replace chuỗi con, không so khớp nguyên mã → có thể "ăn" cả mã chứa chuỗi đó.</t>
        </is>
      </c>
      <c r="L13" s="18" t="inlineStr">
        <is>
          <t>Bác sĩ chọn đúng mã ICD trên HIS; cập nhật danh mục ICD trên HIS.</t>
        </is>
      </c>
      <c r="M13" s="18" t="inlineStr">
        <is>
          <t>FIX_XML1.cs:205</t>
        </is>
      </c>
    </row>
    <row r="14">
      <c r="A14" s="18" t="n">
        <v>13</v>
      </c>
      <c r="B14" s="18" t="inlineStr">
        <is>
          <t>XML1</t>
        </is>
      </c>
      <c r="C14" s="18" t="inlineStr">
        <is>
          <t>XML1 – Tổng hợp KCB</t>
        </is>
      </c>
      <c r="D14" s="18" t="inlineStr">
        <is>
          <t>MA_BENH_CHINH, MA_BENH_KT</t>
        </is>
      </c>
      <c r="E14" s="18" t="inlineStr">
        <is>
          <t>Mã nằm trong bảng 27 mã "TT mới áp dụng 1.7.2026"</t>
        </is>
      </c>
      <c r="F14" s="18" t="inlineStr">
        <is>
          <t>Đổi sang mã mới (xem sheet "Ma ICD bi doi")</t>
        </is>
      </c>
      <c r="G14" s="18" t="inlineStr">
        <is>
          <t>HIS: "K35.9" → Cổng: "K35.8"</t>
        </is>
      </c>
      <c r="H14" s="18" t="inlineStr">
        <is>
          <t>HIS vẫn lưu mã cũ, cổng nhận mã mới → lệch vĩnh viễn; bệnh án điện tử/thống kê HIS khác dữ liệu thanh toán.</t>
        </is>
      </c>
      <c r="I14" s="18" t="inlineStr">
        <is>
          <t>Thay mã ICD</t>
        </is>
      </c>
      <c r="J14" s="21" t="inlineStr">
        <is>
          <t>Nghiêm trọng</t>
        </is>
      </c>
      <c r="K14" s="18" t="inlineStr"/>
      <c r="L14" s="18" t="inlineStr">
        <is>
          <t>Cập nhật danh mục ICD trên HIS theo văn bản mới, khoá mã cũ; bác sĩ chọn lại mã.</t>
        </is>
      </c>
      <c r="M14" s="18" t="inlineStr">
        <is>
          <t>FIX_XML1.cs:220</t>
        </is>
      </c>
    </row>
    <row r="15">
      <c r="A15" s="18" t="n">
        <v>14</v>
      </c>
      <c r="B15" s="18" t="inlineStr">
        <is>
          <t>XML1</t>
        </is>
      </c>
      <c r="C15" s="18" t="inlineStr">
        <is>
          <t>XML1 – Tổng hợp KCB</t>
        </is>
      </c>
      <c r="D15" s="18" t="inlineStr">
        <is>
          <t>MA_BENH_KT</t>
        </is>
      </c>
      <c r="E15" s="18" t="inlineStr">
        <is>
          <t>Mã thuộc nhóm Z00–Z13 (khám, sàng lọc…)</t>
        </is>
      </c>
      <c r="F15" s="18" t="inlineStr">
        <is>
          <t>Loại bỏ khỏi chuỗi bệnh kèm theo (104 mã, xem sheet "Ma Z bi xoa")</t>
        </is>
      </c>
      <c r="G15" s="18" t="inlineStr">
        <is>
          <t>HIS: "E11;Z01.7" → Cổng: "E11"</t>
        </is>
      </c>
      <c r="H15" s="18" t="inlineStr">
        <is>
          <t>Mất chẩn đoán kèm theo trên cổng. XML3.MA_BENH không bị lọc → DVKT gắn mã Z không còn khớp chẩn đoán của XML1.</t>
        </is>
      </c>
      <c r="I15" s="18" t="inlineStr">
        <is>
          <t>Xoá dữ liệu</t>
        </is>
      </c>
      <c r="J15" s="20" t="inlineStr">
        <is>
          <t>Cao</t>
        </is>
      </c>
      <c r="K15" s="18" t="inlineStr"/>
      <c r="L15" s="18" t="inlineStr">
        <is>
          <t>Quy định/hướng dẫn bác sĩ không ghi mã Z không phù hợp ngay trên HIS.</t>
        </is>
      </c>
      <c r="M15" s="18" t="inlineStr">
        <is>
          <t>FIX_XML1.cs:289</t>
        </is>
      </c>
    </row>
    <row r="16">
      <c r="A16" s="18" t="n">
        <v>15</v>
      </c>
      <c r="B16" s="18" t="inlineStr">
        <is>
          <t>XML1</t>
        </is>
      </c>
      <c r="C16" s="18" t="inlineStr">
        <is>
          <t>XML1 – Tổng hợp KCB</t>
        </is>
      </c>
      <c r="D16" s="18" t="inlineStr">
        <is>
          <t>MA_DOITUONG_KCB</t>
        </is>
      </c>
      <c r="E16" s="18" t="inlineStr">
        <is>
          <t>Rỗng</t>
        </is>
      </c>
      <c r="F16" s="18" t="inlineStr">
        <is>
          <t>Suy đoán: tỷ lệ T_TONGCHI_BH/T_TONGCHI_BV ≤ 40% → "3"; khoa K02.1/K02.2 → "2"; còn lại → "1"</t>
        </is>
      </c>
      <c r="G16" s="18" t="inlineStr">
        <is>
          <t>HIS: "" → Cổng: "1"</t>
        </is>
      </c>
      <c r="H16" s="18" t="inlineStr">
        <is>
          <t>Đối tượng KCB quyết định tuyến/mức hưởng BHYT; tự đoán theo tỷ lệ tiền là suy diễn, có thể sai quyền lợi.</t>
        </is>
      </c>
      <c r="I16" s="18" t="inlineStr">
        <is>
          <t>Suy đoán giá trị</t>
        </is>
      </c>
      <c r="J16" s="21" t="inlineStr">
        <is>
          <t>Nghiêm trọng</t>
        </is>
      </c>
      <c r="K16" s="18" t="inlineStr">
        <is>
          <t>So sánh yyyyMM (6 số, VD 202510) với 20240702 (8 số) → điều kiện "trước 02/07/2024" LUÔN ĐÚNG, áp dụng cả hồ sơ mới. T_TONGCHI_BV = 0 → lỗi chia cho 0.</t>
        </is>
      </c>
      <c r="L16" s="18" t="inlineStr">
        <is>
          <t>Khoa/người nhập sửa trên HIS rồi xuất lại; công cụ chỉ được CẢNH BÁO, không tự sửa.</t>
        </is>
      </c>
      <c r="M16" s="18" t="inlineStr">
        <is>
          <t>FIX_XML1.cs:298</t>
        </is>
      </c>
    </row>
    <row r="17">
      <c r="A17" s="18" t="n">
        <v>16</v>
      </c>
      <c r="B17" s="18" t="inlineStr">
        <is>
          <t>XML1</t>
        </is>
      </c>
      <c r="C17" s="18" t="inlineStr">
        <is>
          <t>XML1 – Tổng hợp KCB</t>
        </is>
      </c>
      <c r="D17" s="18" t="inlineStr">
        <is>
          <t>PP_DIEU_TRI</t>
        </is>
      </c>
      <c r="E17" s="18" t="inlineStr">
        <is>
          <t>Rỗng / dài ≥ 1296</t>
        </is>
      </c>
      <c r="F17" s="18" t="inlineStr">
        <is>
          <t>Rỗng → "PP_DIEU_TRI" + hằng BSKhongDienTT; dài → cắt 1296 ký tự + "..."</t>
        </is>
      </c>
      <c r="G17" s="18" t="inlineStr">
        <is>
          <t>HIS: "" → Cổng: "PP_DIEU_TRI&lt;chuỗi cấu hình&gt;"</t>
        </is>
      </c>
      <c r="H17" s="18" t="inlineStr">
        <is>
          <t>Dữ liệu giả hoặc bị cắt; HIS khác cổng.</t>
        </is>
      </c>
      <c r="I17" s="18" t="inlineStr">
        <is>
          <t>Bịa / cắt chuỗi</t>
        </is>
      </c>
      <c r="J17" s="20" t="inlineStr">
        <is>
          <t>Cao</t>
        </is>
      </c>
      <c r="K17" s="18" t="inlineStr"/>
      <c r="L17" s="18" t="inlineStr">
        <is>
          <t>Khoa/người nhập sửa trên HIS rồi xuất lại; công cụ chỉ được CẢNH BÁO, không tự sửa.</t>
        </is>
      </c>
      <c r="M17" s="18" t="inlineStr">
        <is>
          <t>FIX_XML1.cs:330</t>
        </is>
      </c>
    </row>
    <row r="18">
      <c r="A18" s="18" t="n">
        <v>17</v>
      </c>
      <c r="B18" s="18" t="inlineStr">
        <is>
          <t>XML1</t>
        </is>
      </c>
      <c r="C18" s="18" t="inlineStr">
        <is>
          <t>XML1 – Tổng hợp KCB</t>
        </is>
      </c>
      <c r="D18" s="18" t="inlineStr">
        <is>
          <t>GIAY_CHUYEN_TUYEN</t>
        </is>
      </c>
      <c r="E18" s="18" t="inlineStr">
        <is>
          <t>MA_DOITUONG_KCB = 1.3 hoặc 1.5 và rỗng</t>
        </is>
      </c>
      <c r="F18" s="18" t="inlineStr">
        <is>
          <t>Gán số giấy giả "...../20../PCCSKBCB"</t>
        </is>
      </c>
      <c r="G18" s="18" t="inlineStr">
        <is>
          <t>HIS: "" → Cổng: "...../20../PCCSKBCB"</t>
        </is>
      </c>
      <c r="H18" s="18" t="inlineStr">
        <is>
          <t>Hồ sơ chuyển tuyến không có giấy vẫn được gửi như có giấy → hưởng quyền lợi đúng tuyến không có căn cứ; rủi ro xuất toán, trách nhiệm pháp lý.</t>
        </is>
      </c>
      <c r="I18" s="18" t="inlineStr">
        <is>
          <t>Bịa giá trị</t>
        </is>
      </c>
      <c r="J18" s="21" t="inlineStr">
        <is>
          <t>Nghiêm trọng</t>
        </is>
      </c>
      <c r="K18" s="18" t="inlineStr"/>
      <c r="L18" s="18" t="inlineStr">
        <is>
          <t>Bắt buộc nhập số giấy chuyển tuyến trên HIS; thiếu thì không duyệt hồ sơ.</t>
        </is>
      </c>
      <c r="M18" s="18" t="inlineStr">
        <is>
          <t>FIX_XML1.cs:339</t>
        </is>
      </c>
    </row>
    <row r="19">
      <c r="A19" s="18" t="n">
        <v>18</v>
      </c>
      <c r="B19" s="18" t="inlineStr">
        <is>
          <t>XML2</t>
        </is>
      </c>
      <c r="C19" s="18" t="inlineStr">
        <is>
          <t>XML2 – Chi tiết thuốc</t>
        </is>
      </c>
      <c r="D19" s="18" t="inlineStr">
        <is>
          <t>MA_THUOC, TEN_THUOC</t>
        </is>
      </c>
      <c r="E19" s="18" t="inlineStr">
        <is>
          <t>Rỗng</t>
        </is>
      </c>
      <c r="F19" s="18" t="inlineStr">
        <is>
          <t>Gán hằng BHYTConfig.DuocChuaNhapTT</t>
        </is>
      </c>
      <c r="G19" s="18" t="inlineStr">
        <is>
          <t>HIS: "" → Cổng: "&lt;chuỗi cấu hình&gt;"</t>
        </is>
      </c>
      <c r="H19" s="18" t="inlineStr">
        <is>
          <t>Thuốc không có mã vẫn được gửi với mã giả.</t>
        </is>
      </c>
      <c r="I19" s="18" t="inlineStr">
        <is>
          <t>Bịa giá trị</t>
        </is>
      </c>
      <c r="J19" s="20" t="inlineStr">
        <is>
          <t>Cao</t>
        </is>
      </c>
      <c r="K19" s="18" t="inlineStr"/>
      <c r="L19" s="18" t="inlineStr">
        <is>
          <t>Khoa Dược chuẩn hoá danh mục thuốc trên HIS.</t>
        </is>
      </c>
      <c r="M19" s="18" t="inlineStr">
        <is>
          <t>FIX_XML2.cs:22</t>
        </is>
      </c>
    </row>
    <row r="20">
      <c r="A20" s="18" t="n">
        <v>19</v>
      </c>
      <c r="B20" s="18" t="inlineStr">
        <is>
          <t>XML2</t>
        </is>
      </c>
      <c r="C20" s="18" t="inlineStr">
        <is>
          <t>XML2 – Chi tiết thuốc</t>
        </is>
      </c>
      <c r="D20" s="18" t="inlineStr">
        <is>
          <t>MA_THUOC</t>
        </is>
      </c>
      <c r="E20" s="18">
        <f> KTCGT120 hoặc KTCGT250</f>
        <v/>
      </c>
      <c r="F20" s="18" t="inlineStr">
        <is>
          <t>Đổi thành "9.4.KTNAT"</t>
        </is>
      </c>
      <c r="G20" s="18" t="inlineStr">
        <is>
          <t>HIS: "KTCGT120" → Cổng: "9.4.KTNAT"</t>
        </is>
      </c>
      <c r="H20" s="18" t="inlineStr">
        <is>
          <t>Mã thuốc trên cổng khác mã trên HIS/kho dược → không đối chiếu được xuất–nhập–tồn.</t>
        </is>
      </c>
      <c r="I20" s="18" t="inlineStr">
        <is>
          <t>Thay mã</t>
        </is>
      </c>
      <c r="J20" s="20" t="inlineStr">
        <is>
          <t>Cao</t>
        </is>
      </c>
      <c r="K20" s="18" t="inlineStr"/>
      <c r="L20" s="18" t="inlineStr">
        <is>
          <t>Sửa mã trong danh mục thuốc HIS.</t>
        </is>
      </c>
      <c r="M20" s="18" t="inlineStr">
        <is>
          <t>FIX_XML2.cs:38</t>
        </is>
      </c>
    </row>
    <row r="21">
      <c r="A21" s="18" t="n">
        <v>20</v>
      </c>
      <c r="B21" s="18" t="inlineStr">
        <is>
          <t>XML2</t>
        </is>
      </c>
      <c r="C21" s="18" t="inlineStr">
        <is>
          <t>XML2 – Chi tiết thuốc</t>
        </is>
      </c>
      <c r="D21" s="18" t="inlineStr">
        <is>
          <t>SO_DANG_KY</t>
        </is>
      </c>
      <c r="E21" s="18" t="inlineStr">
        <is>
          <t>MA_THUOC rỗng và SO_DANG_KY rỗng</t>
        </is>
      </c>
      <c r="F21" s="18" t="inlineStr">
        <is>
          <t>Gán DuocChuaNhapTT</t>
        </is>
      </c>
      <c r="G21" s="18" t="inlineStr">
        <is>
          <t>—</t>
        </is>
      </c>
      <c r="H21" s="18" t="inlineStr">
        <is>
          <t>Không bao giờ chạy.</t>
        </is>
      </c>
      <c r="I21" s="18" t="inlineStr">
        <is>
          <t>Bịa giá trị</t>
        </is>
      </c>
      <c r="J21" s="19" t="inlineStr">
        <is>
          <t>Trung bình</t>
        </is>
      </c>
      <c r="K21" s="18" t="inlineStr">
        <is>
          <t>Code chết: MA_THUOC đã được gán ở bước trước nên điều kiện không bao giờ đúng.</t>
        </is>
      </c>
      <c r="L21" s="18" t="inlineStr"/>
      <c r="M21" s="18" t="inlineStr">
        <is>
          <t>FIX_XML2.cs:40</t>
        </is>
      </c>
    </row>
    <row r="22">
      <c r="A22" s="18" t="n">
        <v>21</v>
      </c>
      <c r="B22" s="18" t="inlineStr">
        <is>
          <t>XML2</t>
        </is>
      </c>
      <c r="C22" s="18" t="inlineStr">
        <is>
          <t>XML2 – Chi tiết thuốc</t>
        </is>
      </c>
      <c r="D22" s="18" t="inlineStr">
        <is>
          <t>NGAY_YL</t>
        </is>
      </c>
      <c r="E22" s="18" t="inlineStr">
        <is>
          <t>NGAY_YL &gt; NGAY_RA hoặc &lt; NGAY_VAO</t>
        </is>
      </c>
      <c r="F22" s="18" t="inlineStr">
        <is>
          <t>Kéo NGAY_YL về đúng NGAY_RA / NGAY_VAO</t>
        </is>
      </c>
      <c r="G22" s="18" t="inlineStr">
        <is>
          <t>HIS: 202510151030 (sau ra viện) → Cổng: = NGAY_RA</t>
        </is>
      </c>
      <c r="H22" s="18" t="inlineStr">
        <is>
          <t>CHE GIẤU y lệnh ngoài thời gian điều trị – đúng loại lỗi cổng phải xuất toán. Thời gian y lệnh trên cổng ≠ HIS/bệnh án.</t>
        </is>
      </c>
      <c r="I22" s="18" t="inlineStr">
        <is>
          <t>Sửa thời gian</t>
        </is>
      </c>
      <c r="J22" s="21" t="inlineStr">
        <is>
          <t>Nghiêm trọng</t>
        </is>
      </c>
      <c r="K22" s="18" t="inlineStr"/>
      <c r="L22" s="18" t="inlineStr">
        <is>
          <t>Rà soát hồ sơ, sửa thời gian y lệnh hoặc ngày vào/ra trên HIS cho đúng thực tế.</t>
        </is>
      </c>
      <c r="M22" s="18" t="inlineStr">
        <is>
          <t>FIX_XML2.cs:47, :78</t>
        </is>
      </c>
    </row>
    <row r="23">
      <c r="A23" s="18" t="n">
        <v>22</v>
      </c>
      <c r="B23" s="18" t="inlineStr">
        <is>
          <t>XML2</t>
        </is>
      </c>
      <c r="C23" s="18" t="inlineStr">
        <is>
          <t>XML2 – Chi tiết thuốc</t>
        </is>
      </c>
      <c r="D23" s="18" t="inlineStr">
        <is>
          <t>NGAY_TH_YL</t>
        </is>
      </c>
      <c r="E23" s="18" t="inlineStr">
        <is>
          <t>NGAY_YL &gt; NGAY_TH_YL</t>
        </is>
      </c>
      <c r="F23" s="18" t="inlineStr">
        <is>
          <t>Gán NGAY_TH_YL = NGAY_YL</t>
        </is>
      </c>
      <c r="G23" s="18" t="inlineStr">
        <is>
          <t>HIS: TH 08:00, YL 09:00 → Cổng: TH 09:00</t>
        </is>
      </c>
      <c r="H23" s="18" t="inlineStr">
        <is>
          <t>Thời gian thực hiện y lệnh bị bịa.</t>
        </is>
      </c>
      <c r="I23" s="18" t="inlineStr">
        <is>
          <t>Sửa thời gian</t>
        </is>
      </c>
      <c r="J23" s="20" t="inlineStr">
        <is>
          <t>Cao</t>
        </is>
      </c>
      <c r="K23" s="18" t="inlineStr">
        <is>
          <t>Sửa NGAY_TH_YL TRƯỚC khi kéo NGAY_YL lên NGAY_VAO → sau khi sửa vẫn có thể NGAY_YL &gt; NGAY_TH_YL.</t>
        </is>
      </c>
      <c r="L23" s="18" t="inlineStr">
        <is>
          <t>Khoa/người nhập sửa trên HIS rồi xuất lại; công cụ chỉ được CẢNH BÁO, không tự sửa.</t>
        </is>
      </c>
      <c r="M23" s="18" t="inlineStr">
        <is>
          <t>FIX_XML2.cs:54</t>
        </is>
      </c>
    </row>
    <row r="24">
      <c r="A24" s="18" t="n">
        <v>23</v>
      </c>
      <c r="B24" s="18" t="inlineStr">
        <is>
          <t>XML2</t>
        </is>
      </c>
      <c r="C24" s="18" t="inlineStr">
        <is>
          <t>XML2 – Chi tiết thuốc</t>
        </is>
      </c>
      <c r="D24" s="18" t="inlineStr">
        <is>
          <t>MA_BAC_SI</t>
        </is>
      </c>
      <c r="E24" s="18" t="inlineStr">
        <is>
          <t>Có "CNTT" hoặc rỗng</t>
        </is>
      </c>
      <c r="F24" s="18" t="inlineStr">
        <is>
          <t>Bỏ "CNTT"; rỗng → gán mã CCHN TRƯỞNG KHOA theo MA_KHOA (xem sheet "Truong khoa gan thay")</t>
        </is>
      </c>
      <c r="G24" s="18" t="inlineStr">
        <is>
          <t>HIS: "" → Cổng: "0010527/BYT-CCHN"</t>
        </is>
      </c>
      <c r="H24" s="18" t="inlineStr">
        <is>
          <t>Người chỉ định trên cổng là trưởng khoa dù họ không chỉ định → sai trách nhiệm chuyên môn, pháp lý; HIS không có.</t>
        </is>
      </c>
      <c r="I24" s="18" t="inlineStr">
        <is>
          <t>Gán người khác</t>
        </is>
      </c>
      <c r="J24" s="21" t="inlineStr">
        <is>
          <t>Nghiêm trọng</t>
        </is>
      </c>
      <c r="K24" s="18" t="inlineStr">
        <is>
          <t>Khoa không có trong danh sách → vẫn rỗng.</t>
        </is>
      </c>
      <c r="L24" s="18" t="inlineStr">
        <is>
          <t>Bắt buộc ký/chọn bác sĩ chỉ định trên HIS.</t>
        </is>
      </c>
      <c r="M24" s="18" t="inlineStr">
        <is>
          <t>FIX_XML2.cs:83</t>
        </is>
      </c>
    </row>
    <row r="25">
      <c r="A25" s="18" t="n">
        <v>24</v>
      </c>
      <c r="B25" s="18" t="inlineStr">
        <is>
          <t>XML3</t>
        </is>
      </c>
      <c r="C25" s="18" t="inlineStr">
        <is>
          <t>XML3 – Chi tiết DVKT &amp; VTYT</t>
        </is>
      </c>
      <c r="D25" s="18" t="inlineStr">
        <is>
          <t>MA_BENH</t>
        </is>
      </c>
      <c r="E25" s="18" t="inlineStr">
        <is>
          <t>Luôn chạy</t>
        </is>
      </c>
      <c r="F25" s="18" t="inlineStr">
        <is>
          <t>Thay chuỗi con 6 mã ICD như XML1</t>
        </is>
      </c>
      <c r="G25" s="18" t="inlineStr">
        <is>
          <t>HIS: "A91" → Cổng: "A90"</t>
        </is>
      </c>
      <c r="H25" s="18" t="inlineStr">
        <is>
          <t>Đổi chẩn đoán gắn với DVKT.</t>
        </is>
      </c>
      <c r="I25" s="18" t="inlineStr">
        <is>
          <t>Thay mã ICD</t>
        </is>
      </c>
      <c r="J25" s="21" t="inlineStr">
        <is>
          <t>Nghiêm trọng</t>
        </is>
      </c>
      <c r="K25" s="18" t="inlineStr">
        <is>
          <t>Không áp dụng bảng 27 mã và lọc Z như XML1 → XML1 và XML3 lệch nhau.</t>
        </is>
      </c>
      <c r="L25" s="18" t="inlineStr">
        <is>
          <t>Như XML1.</t>
        </is>
      </c>
      <c r="M25" s="18" t="inlineStr">
        <is>
          <t>FIX_XML3.cs:22</t>
        </is>
      </c>
    </row>
    <row r="26">
      <c r="A26" s="18" t="n">
        <v>25</v>
      </c>
      <c r="B26" s="18" t="inlineStr">
        <is>
          <t>XML3</t>
        </is>
      </c>
      <c r="C26" s="18" t="inlineStr">
        <is>
          <t>XML3 – Chi tiết DVKT &amp; VTYT</t>
        </is>
      </c>
      <c r="D26" s="18" t="inlineStr">
        <is>
          <t>MA_GIUONG</t>
        </is>
      </c>
      <c r="E26" s="18" t="inlineStr">
        <is>
          <t>Chứa H17A / H17B</t>
        </is>
      </c>
      <c r="F26" s="18" t="inlineStr">
        <is>
          <t>Đổi thành H017</t>
        </is>
      </c>
      <c r="G26" s="18" t="inlineStr">
        <is>
          <t>HIS: "H17A" → Cổng: "H017"</t>
        </is>
      </c>
      <c r="H26" s="18" t="inlineStr">
        <is>
          <t>Mã giường trên cổng khác HIS; 2 giường khác nhau gộp thành 1 mã.</t>
        </is>
      </c>
      <c r="I26" s="18" t="inlineStr">
        <is>
          <t>Thay mã</t>
        </is>
      </c>
      <c r="J26" s="20" t="inlineStr">
        <is>
          <t>Cao</t>
        </is>
      </c>
      <c r="K26" s="18" t="inlineStr"/>
      <c r="L26" s="18" t="inlineStr">
        <is>
          <t>Chuẩn hoá danh mục giường trên HIS.</t>
        </is>
      </c>
      <c r="M26" s="18" t="inlineStr">
        <is>
          <t>FIX_XML3.cs:28</t>
        </is>
      </c>
    </row>
    <row r="27">
      <c r="A27" s="18" t="n">
        <v>26</v>
      </c>
      <c r="B27" s="18" t="inlineStr">
        <is>
          <t>XML3</t>
        </is>
      </c>
      <c r="C27" s="18" t="inlineStr">
        <is>
          <t>XML3 – Chi tiết DVKT &amp; VTYT</t>
        </is>
      </c>
      <c r="D27" s="18" t="inlineStr">
        <is>
          <t>MA_VAT_TU, TEN_VAT_TU (nhóm 10)</t>
        </is>
      </c>
      <c r="E27" s="18" t="inlineStr">
        <is>
          <t>Rỗng</t>
        </is>
      </c>
      <c r="F27" s="18" t="inlineStr">
        <is>
          <t>Gán hằng BHYTConfig.PVTChuaNhapTT</t>
        </is>
      </c>
      <c r="G27" s="18" t="inlineStr">
        <is>
          <t>HIS: "" → Cổng: "&lt;chuỗi cấu hình&gt;"</t>
        </is>
      </c>
      <c r="H27" s="18" t="inlineStr">
        <is>
          <t>Vật tư không mã vẫn gửi cổng.</t>
        </is>
      </c>
      <c r="I27" s="18" t="inlineStr">
        <is>
          <t>Bịa giá trị</t>
        </is>
      </c>
      <c r="J27" s="20" t="inlineStr">
        <is>
          <t>Cao</t>
        </is>
      </c>
      <c r="K27" s="18" t="inlineStr"/>
      <c r="L27" s="18" t="inlineStr">
        <is>
          <t>Chuẩn hoá danh mục VTYT.</t>
        </is>
      </c>
      <c r="M27" s="18" t="inlineStr">
        <is>
          <t>FIX_XML3.cs:32</t>
        </is>
      </c>
    </row>
    <row r="28">
      <c r="A28" s="18" t="n">
        <v>27</v>
      </c>
      <c r="B28" s="18" t="inlineStr">
        <is>
          <t>XML3</t>
        </is>
      </c>
      <c r="C28" s="18" t="inlineStr">
        <is>
          <t>XML3 – Chi tiết DVKT &amp; VTYT</t>
        </is>
      </c>
      <c r="D28" s="18" t="inlineStr">
        <is>
          <t>GOI_VTYT, MA_DICH_VU, TEN_DICH_VU (nhóm 10)</t>
        </is>
      </c>
      <c r="E28" s="18" t="inlineStr">
        <is>
          <t>GOI_VTYT từ G30 đến G99</t>
        </is>
      </c>
      <c r="F28" s="18" t="inlineStr">
        <is>
          <t>Xoá cả 3 trường</t>
        </is>
      </c>
      <c r="G28" s="18" t="inlineStr">
        <is>
          <t>HIS: G35 / 01.0001.xxxx → Cổng: rỗng</t>
        </is>
      </c>
      <c r="H28" s="18" t="inlineStr">
        <is>
          <t>Mất liên kết vật tư với DVKT/gói → cổng không tính được trần gói, vật tư thành độc lập; HIS vẫn có liên kết.</t>
        </is>
      </c>
      <c r="I28" s="18" t="inlineStr">
        <is>
          <t>Xoá dữ liệu</t>
        </is>
      </c>
      <c r="J28" s="21" t="inlineStr">
        <is>
          <t>Nghiêm trọng</t>
        </is>
      </c>
      <c r="K28" s="18" t="inlineStr"/>
      <c r="L28" s="18" t="inlineStr">
        <is>
          <t>Kiểm soát số gói trên HIS; báo lỗi thay vì xoá.</t>
        </is>
      </c>
      <c r="M28" s="18" t="inlineStr">
        <is>
          <t>FIX_XML3.cs:44</t>
        </is>
      </c>
    </row>
    <row r="29">
      <c r="A29" s="18" t="n">
        <v>28</v>
      </c>
      <c r="B29" s="18" t="inlineStr">
        <is>
          <t>XML3</t>
        </is>
      </c>
      <c r="C29" s="18" t="inlineStr">
        <is>
          <t>XML3 – Chi tiết DVKT &amp; VTYT</t>
        </is>
      </c>
      <c r="D29" s="18" t="inlineStr">
        <is>
          <t>TAI_SU_DUNG (nhóm 10)</t>
        </is>
      </c>
      <c r="E29" s="18">
        <f> 1 và DON_GIA_BH ≠ DON_GIA_BV</f>
        <v/>
      </c>
      <c r="F29" s="18" t="inlineStr">
        <is>
          <t>Xoá cờ tái sử dụng</t>
        </is>
      </c>
      <c r="G29" s="18" t="inlineStr">
        <is>
          <t>HIS: "1" → Cổng: ""</t>
        </is>
      </c>
      <c r="H29" s="18" t="inlineStr">
        <is>
          <t>Vật tư tái sử dụng bị khai là dùng 1 lần → thanh toán sai.</t>
        </is>
      </c>
      <c r="I29" s="18" t="inlineStr">
        <is>
          <t>Xoá dữ liệu</t>
        </is>
      </c>
      <c r="J29" s="21" t="inlineStr">
        <is>
          <t>Nghiêm trọng</t>
        </is>
      </c>
      <c r="K29" s="18" t="inlineStr"/>
      <c r="L29" s="18" t="inlineStr">
        <is>
          <t>Sửa giá/cờ tái sử dụng trên HIS.</t>
        </is>
      </c>
      <c r="M29" s="18" t="inlineStr">
        <is>
          <t>FIX_XML3.cs:56</t>
        </is>
      </c>
    </row>
    <row r="30">
      <c r="A30" s="18" t="n">
        <v>29</v>
      </c>
      <c r="B30" s="18" t="inlineStr">
        <is>
          <t>XML3</t>
        </is>
      </c>
      <c r="C30" s="18" t="inlineStr">
        <is>
          <t>XML3 – Chi tiết DVKT &amp; VTYT</t>
        </is>
      </c>
      <c r="D30" s="18" t="inlineStr">
        <is>
          <t>MA_VAT_TU (DVKT y học hạt nhân)</t>
        </is>
      </c>
      <c r="E30" s="18" t="inlineStr">
        <is>
          <t>MA_DICH_VU thuộc 71 mã DVKT (19.xxxx, 12.036x) và MA_VAT_TU rỗng</t>
        </is>
      </c>
      <c r="F30" s="18" t="inlineStr">
        <is>
          <t>Gán CỨNG mã "40P.xx" (+ "40P.52") theo từng DVKT – xem sheet "Ma VT gan cung"</t>
        </is>
      </c>
      <c r="G30" s="18" t="inlineStr">
        <is>
          <t>HIS: "" → Cổng: "40P.16+40P.52"</t>
        </is>
      </c>
      <c r="H30" s="18" t="inlineStr">
        <is>
          <t>Khai vật tư/thuốc phóng xạ đã dùng mà không căn cứ thực tế sử dụng; HIS không ghi nhận. Nếu thực tế dùng loại khác hoặc không dùng → khai sai.</t>
        </is>
      </c>
      <c r="I30" s="18" t="inlineStr">
        <is>
          <t>Bịa giá trị</t>
        </is>
      </c>
      <c r="J30" s="21" t="inlineStr">
        <is>
          <t>Nghiêm trọng</t>
        </is>
      </c>
      <c r="K30" s="18" t="inlineStr"/>
      <c r="L30" s="18" t="inlineStr">
        <is>
          <t>Khoa YHHN ghi nhận vật tư/thuốc thực dùng trên HIS.</t>
        </is>
      </c>
      <c r="M30" s="18" t="inlineStr">
        <is>
          <t>FIX_XML3.cs:62-208</t>
        </is>
      </c>
    </row>
    <row r="31">
      <c r="A31" s="18" t="n">
        <v>30</v>
      </c>
      <c r="B31" s="18" t="inlineStr">
        <is>
          <t>XML3</t>
        </is>
      </c>
      <c r="C31" s="18" t="inlineStr">
        <is>
          <t>XML3 – Chi tiết DVKT &amp; VTYT</t>
        </is>
      </c>
      <c r="D31" s="18" t="inlineStr">
        <is>
          <t>NGAY_YL</t>
        </is>
      </c>
      <c r="E31" s="18" t="inlineStr">
        <is>
          <t>&gt; NGAY_RA hoặc &lt; NGAY_VAO</t>
        </is>
      </c>
      <c r="F31" s="18" t="inlineStr">
        <is>
          <t>Kéo về NGAY_RA / NGAY_VAO</t>
        </is>
      </c>
      <c r="G31" s="18" t="inlineStr">
        <is>
          <t>Như XML2</t>
        </is>
      </c>
      <c r="H31" s="18" t="inlineStr">
        <is>
          <t>Che giấu chỉ định ngoài thời gian điều trị.</t>
        </is>
      </c>
      <c r="I31" s="18" t="inlineStr">
        <is>
          <t>Sửa thời gian</t>
        </is>
      </c>
      <c r="J31" s="21" t="inlineStr">
        <is>
          <t>Nghiêm trọng</t>
        </is>
      </c>
      <c r="K31" s="18" t="inlineStr"/>
      <c r="L31" s="18" t="inlineStr">
        <is>
          <t>Như XML2.</t>
        </is>
      </c>
      <c r="M31" s="18" t="inlineStr">
        <is>
          <t>FIX_XML3.cs:210</t>
        </is>
      </c>
    </row>
    <row r="32">
      <c r="A32" s="18" t="n">
        <v>31</v>
      </c>
      <c r="B32" s="18" t="inlineStr">
        <is>
          <t>XML3</t>
        </is>
      </c>
      <c r="C32" s="18" t="inlineStr">
        <is>
          <t>XML3 – Chi tiết DVKT &amp; VTYT</t>
        </is>
      </c>
      <c r="D32" s="18" t="inlineStr">
        <is>
          <t>MA_BAC_SI</t>
        </is>
      </c>
      <c r="E32" s="18" t="inlineStr">
        <is>
          <t>Có "CNTT" hoặc rỗng</t>
        </is>
      </c>
      <c r="F32" s="18" t="inlineStr">
        <is>
          <t>Bỏ "CNTT"; rỗng → CCHN trưởng khoa</t>
        </is>
      </c>
      <c r="G32" s="18" t="inlineStr">
        <is>
          <t>Như XML2</t>
        </is>
      </c>
      <c r="H32" s="18" t="inlineStr">
        <is>
          <t>Sai người chỉ định.</t>
        </is>
      </c>
      <c r="I32" s="18" t="inlineStr">
        <is>
          <t>Gán người khác</t>
        </is>
      </c>
      <c r="J32" s="21" t="inlineStr">
        <is>
          <t>Nghiêm trọng</t>
        </is>
      </c>
      <c r="K32" s="18" t="inlineStr"/>
      <c r="L32" s="18" t="inlineStr">
        <is>
          <t>Như XML2.</t>
        </is>
      </c>
      <c r="M32" s="18" t="inlineStr">
        <is>
          <t>FIX_XML3.cs:222</t>
        </is>
      </c>
    </row>
    <row r="33">
      <c r="A33" s="18" t="n">
        <v>32</v>
      </c>
      <c r="B33" s="18" t="inlineStr">
        <is>
          <t>XML3</t>
        </is>
      </c>
      <c r="C33" s="18" t="inlineStr">
        <is>
          <t>XML3 – Chi tiết DVKT &amp; VTYT</t>
        </is>
      </c>
      <c r="D33" s="18" t="inlineStr">
        <is>
          <t>NGAY_KQ</t>
        </is>
      </c>
      <c r="E33" s="18" t="inlineStr">
        <is>
          <t>&gt; (giờ xuất file − 3 phút) hoặc &lt; NGAY_YL</t>
        </is>
      </c>
      <c r="F33" s="18" t="inlineStr">
        <is>
          <t>Gán = giờ xuất file − 3 phút, hoặc = NGAY_YL</t>
        </is>
      </c>
      <c r="G33" s="18" t="inlineStr">
        <is>
          <t>HIS: "" / sai → Cổng: thời điểm chạy công cụ</t>
        </is>
      </c>
      <c r="H33" s="18" t="inlineStr">
        <is>
          <t>Thời gian có kết quả là thời điểm máy xuất XML, không phải lúc có kết quả thật; mỗi lần xuất lại ra giá trị khác.</t>
        </is>
      </c>
      <c r="I33" s="18" t="inlineStr">
        <is>
          <t>Sửa thời gian</t>
        </is>
      </c>
      <c r="J33" s="20" t="inlineStr">
        <is>
          <t>Cao</t>
        </is>
      </c>
      <c r="K33" s="18" t="inlineStr"/>
      <c r="L33" s="18" t="inlineStr">
        <is>
          <t>Khoa/người nhập sửa trên HIS rồi xuất lại; công cụ chỉ được CẢNH BÁO, không tự sửa.</t>
        </is>
      </c>
      <c r="M33" s="18" t="inlineStr">
        <is>
          <t>FIX_XML3.cs:224</t>
        </is>
      </c>
    </row>
    <row r="34">
      <c r="A34" s="18" t="n">
        <v>33</v>
      </c>
      <c r="B34" s="18" t="inlineStr">
        <is>
          <t>XML3</t>
        </is>
      </c>
      <c r="C34" s="18" t="inlineStr">
        <is>
          <t>XML3 – Chi tiết DVKT &amp; VTYT</t>
        </is>
      </c>
      <c r="D34" s="18" t="inlineStr">
        <is>
          <t>NGAY_TH_YL</t>
        </is>
      </c>
      <c r="E34" s="18" t="inlineStr">
        <is>
          <t>&gt; giờ xuất − 3 phút hoặc &lt; NGAY_YL</t>
        </is>
      </c>
      <c r="F34" s="18" t="inlineStr">
        <is>
          <t>Gán = giờ xuất − 3 phút, hoặc = NGAY_YL</t>
        </is>
      </c>
      <c r="G34" s="18" t="inlineStr">
        <is>
          <t>Như trên</t>
        </is>
      </c>
      <c r="H34" s="18" t="inlineStr">
        <is>
          <t>Thời gian thực hiện bịa.</t>
        </is>
      </c>
      <c r="I34" s="18" t="inlineStr">
        <is>
          <t>Sửa thời gian</t>
        </is>
      </c>
      <c r="J34" s="20" t="inlineStr">
        <is>
          <t>Cao</t>
        </is>
      </c>
      <c r="K34" s="18" t="inlineStr"/>
      <c r="L34" s="18" t="inlineStr">
        <is>
          <t>Khoa/người nhập sửa trên HIS rồi xuất lại; công cụ chỉ được CẢNH BÁO, không tự sửa.</t>
        </is>
      </c>
      <c r="M34" s="18" t="inlineStr">
        <is>
          <t>FIX_XML3.cs:248</t>
        </is>
      </c>
    </row>
    <row r="35">
      <c r="A35" s="18" t="n">
        <v>34</v>
      </c>
      <c r="B35" s="18" t="inlineStr">
        <is>
          <t>XML3</t>
        </is>
      </c>
      <c r="C35" s="18" t="inlineStr">
        <is>
          <t>XML3 – Chi tiết DVKT &amp; VTYT</t>
        </is>
      </c>
      <c r="D35" s="18" t="inlineStr">
        <is>
          <t>PP_VO_CAM</t>
        </is>
      </c>
      <c r="E35" s="18" t="inlineStr">
        <is>
          <t>Không thuộc 1/2/3/4</t>
        </is>
      </c>
      <c r="F35" s="18" t="inlineStr">
        <is>
          <t>Nhóm 8, 18 (PT/TT) → "4"; nhóm khác → rỗng</t>
        </is>
      </c>
      <c r="G35" s="18" t="inlineStr">
        <is>
          <t>HIS: "" → Cổng: "4"</t>
        </is>
      </c>
      <c r="H35" s="18" t="inlineStr">
        <is>
          <t>Phương pháp vô cảm không có trong biên bản PT/TT vẫn được khai; giá PT/TT phụ thuộc vô cảm.</t>
        </is>
      </c>
      <c r="I35" s="18" t="inlineStr">
        <is>
          <t>Bịa giá trị</t>
        </is>
      </c>
      <c r="J35" s="21" t="inlineStr">
        <is>
          <t>Nghiêm trọng</t>
        </is>
      </c>
      <c r="K35" s="18" t="inlineStr"/>
      <c r="L35" s="18" t="inlineStr">
        <is>
          <t>Bắt buộc nhập PP vô cảm trong phiếu PT/TT trên HIS.</t>
        </is>
      </c>
      <c r="M35" s="18" t="inlineStr">
        <is>
          <t>FIX_XML3.cs:271</t>
        </is>
      </c>
    </row>
    <row r="36">
      <c r="A36" s="18" t="n">
        <v>35</v>
      </c>
      <c r="B36" s="18" t="inlineStr">
        <is>
          <t>XML3</t>
        </is>
      </c>
      <c r="C36" s="18" t="inlineStr">
        <is>
          <t>XML3 – Chi tiết DVKT &amp; VTYT</t>
        </is>
      </c>
      <c r="D36" s="18" t="inlineStr">
        <is>
          <t>NGUOI_THUC_HIEN (nhóm 1,2,3,8,18)</t>
        </is>
      </c>
      <c r="E36" s="18" t="inlineStr">
        <is>
          <t>Rỗng</t>
        </is>
      </c>
      <c r="F36" s="18" t="inlineStr">
        <is>
          <t>Bỏ "CNTT"; DV khí máu 23.0103.1531 hoặc y lệnh trước 01/07/2024 → gán = MA_BAC_SI (người chỉ định); từ 01/07/2024 → "0000000000"</t>
        </is>
      </c>
      <c r="G36" s="18" t="inlineStr">
        <is>
          <t>HIS: "" → Cổng: "0000000000" hoặc = bác sĩ chỉ định</t>
        </is>
      </c>
      <c r="H36" s="18" t="inlineStr">
        <is>
          <t>Người thực hiện XN/CĐHA/PT bị bịa (chỉ định = thực hiện) hoặc mã giả toàn số 0.</t>
        </is>
      </c>
      <c r="I36" s="18" t="inlineStr">
        <is>
          <t>Gán người khác</t>
        </is>
      </c>
      <c r="J36" s="21" t="inlineStr">
        <is>
          <t>Nghiêm trọng</t>
        </is>
      </c>
      <c r="K36" s="18" t="inlineStr"/>
      <c r="L36" s="18" t="inlineStr">
        <is>
          <t>Bắt buộc ghi người thực hiện trên HIS/LIS/PACS.</t>
        </is>
      </c>
      <c r="M36" s="18" t="inlineStr">
        <is>
          <t>FIX_XML3.cs:300</t>
        </is>
      </c>
    </row>
    <row r="37">
      <c r="A37" s="18" t="n">
        <v>36</v>
      </c>
      <c r="B37" s="18" t="inlineStr">
        <is>
          <t>XML3</t>
        </is>
      </c>
      <c r="C37" s="18" t="inlineStr">
        <is>
          <t>XML3 – Chi tiết DVKT &amp; VTYT</t>
        </is>
      </c>
      <c r="D37" s="18" t="inlineStr">
        <is>
          <t>MA_BENH</t>
        </is>
      </c>
      <c r="E37" s="18" t="inlineStr">
        <is>
          <t>Nhiều hơn 13 mã</t>
        </is>
      </c>
      <c r="F37" s="18" t="inlineStr">
        <is>
          <t>Giữ 13 mã đầu, luôn thêm ";" cuối chuỗi</t>
        </is>
      </c>
      <c r="G37" s="18" t="inlineStr">
        <is>
          <t>HIS: 15 mã → Cổng: 13 mã + ";"</t>
        </is>
      </c>
      <c r="H37" s="18" t="inlineStr">
        <is>
          <t>Mất mã bệnh; chuỗi có dấu ";" thừa.</t>
        </is>
      </c>
      <c r="I37" s="18" t="inlineStr">
        <is>
          <t>Cắt chuỗi</t>
        </is>
      </c>
      <c r="J37" s="19" t="inlineStr">
        <is>
          <t>Trung bình</t>
        </is>
      </c>
      <c r="K37" s="18" t="inlineStr">
        <is>
          <t>Luôn nối ";" kể cả mã cuối.</t>
        </is>
      </c>
      <c r="L37" s="18" t="inlineStr"/>
      <c r="M37" s="18" t="inlineStr">
        <is>
          <t>FIX_XML3.cs:330</t>
        </is>
      </c>
    </row>
    <row r="38">
      <c r="A38" s="18" t="n">
        <v>37</v>
      </c>
      <c r="B38" s="18" t="inlineStr">
        <is>
          <t>XML4</t>
        </is>
      </c>
      <c r="C38" s="18" t="inlineStr">
        <is>
          <t>XML4 – Chỉ số CLS</t>
        </is>
      </c>
      <c r="D38" s="18" t="inlineStr">
        <is>
          <t>GIA_TRI</t>
        </is>
      </c>
      <c r="E38" s="18" t="inlineStr">
        <is>
          <t>Dài ≥ 51 ký tự</t>
        </is>
      </c>
      <c r="F38" s="18" t="inlineStr">
        <is>
          <t>Cắt 47 ký tự + "..."</t>
        </is>
      </c>
      <c r="G38" s="18" t="inlineStr">
        <is>
          <t>HIS: kết quả đầy đủ → Cổng: bị cắt</t>
        </is>
      </c>
      <c r="H38" s="18" t="inlineStr">
        <is>
          <t>Kết quả xét nghiệm trên cổng bị cụt, có thể mất phần kết luận/đơn vị.</t>
        </is>
      </c>
      <c r="I38" s="18" t="inlineStr">
        <is>
          <t>Cắt chuỗi</t>
        </is>
      </c>
      <c r="J38" s="20" t="inlineStr">
        <is>
          <t>Cao</t>
        </is>
      </c>
      <c r="K38" s="18" t="inlineStr"/>
      <c r="L38" s="18" t="inlineStr">
        <is>
          <t>Kết quả dài nên đưa vào KET_LUAN/MO_TA đúng trường.</t>
        </is>
      </c>
      <c r="M38" s="18" t="inlineStr">
        <is>
          <t>FIX_XML4.cs:25</t>
        </is>
      </c>
    </row>
    <row r="39">
      <c r="A39" s="18" t="n">
        <v>38</v>
      </c>
      <c r="B39" s="18" t="inlineStr">
        <is>
          <t>XML4</t>
        </is>
      </c>
      <c r="C39" s="18" t="inlineStr">
        <is>
          <t>XML4 – Chỉ số CLS</t>
        </is>
      </c>
      <c r="D39" s="18" t="inlineStr">
        <is>
          <t>NGAY_KQ</t>
        </is>
      </c>
      <c r="E39" s="18" t="inlineStr">
        <is>
          <t>Rỗng hoặc &gt; giờ xuất − 3 phút</t>
        </is>
      </c>
      <c r="F39" s="18" t="inlineStr">
        <is>
          <t>Gán = giờ xuất − 3 phút</t>
        </is>
      </c>
      <c r="G39" s="18" t="inlineStr">
        <is>
          <t>HIS: "" → Cổng: thời điểm chạy công cụ</t>
        </is>
      </c>
      <c r="H39" s="18" t="inlineStr">
        <is>
          <t>Thời gian kết quả bịa.</t>
        </is>
      </c>
      <c r="I39" s="18" t="inlineStr">
        <is>
          <t>Sửa thời gian</t>
        </is>
      </c>
      <c r="J39" s="20" t="inlineStr">
        <is>
          <t>Cao</t>
        </is>
      </c>
      <c r="K39" s="18" t="inlineStr">
        <is>
          <t>NGAY_KQ đã bị gán trước nên đoạn lấy NGAY_TH_YL/NGAY_YL từ XML3 phía sau không bao giờ chạy.</t>
        </is>
      </c>
      <c r="L39" s="18" t="inlineStr">
        <is>
          <t>Khoa/người nhập sửa trên HIS rồi xuất lại; công cụ chỉ được CẢNH BÁO, không tự sửa.</t>
        </is>
      </c>
      <c r="M39" s="18" t="inlineStr">
        <is>
          <t>FIX_XML4.cs:34</t>
        </is>
      </c>
    </row>
    <row r="40">
      <c r="A40" s="18" t="n">
        <v>39</v>
      </c>
      <c r="B40" s="18" t="inlineStr">
        <is>
          <t>XML4</t>
        </is>
      </c>
      <c r="C40" s="18" t="inlineStr">
        <is>
          <t>XML4 – Chỉ số CLS</t>
        </is>
      </c>
      <c r="D40" s="18" t="inlineStr">
        <is>
          <t>MA_BS_DOC_KQ</t>
        </is>
      </c>
      <c r="E40" s="18" t="inlineStr">
        <is>
          <t>Rỗng</t>
        </is>
      </c>
      <c r="F40" s="18" t="inlineStr">
        <is>
          <t>Lấy MA_BAC_SI (người CHỈ ĐỊNH) của dòng XML3 cùng MA_DICH_VU; không thấy → CCHN trưởng khoa</t>
        </is>
      </c>
      <c r="G40" s="18" t="inlineStr">
        <is>
          <t>HIS: "" → Cổng: bác sĩ chỉ định / trưởng khoa</t>
        </is>
      </c>
      <c r="H40" s="18" t="inlineStr">
        <is>
          <t>Người đọc kết quả trên cổng không phải người đọc thật → sai trách nhiệm chuyên môn.</t>
        </is>
      </c>
      <c r="I40" s="18" t="inlineStr">
        <is>
          <t>Gán người khác</t>
        </is>
      </c>
      <c r="J40" s="21" t="inlineStr">
        <is>
          <t>Nghiêm trọng</t>
        </is>
      </c>
      <c r="K40" s="18" t="inlineStr">
        <is>
          <t>So khớp dòng [0] thay vì [j] → lấy nhầm bác sĩ của dòng khác trong cùng nhóm.</t>
        </is>
      </c>
      <c r="L40" s="18" t="inlineStr">
        <is>
          <t>Bắt buộc ký đọc kết quả trên LIS/PACS.</t>
        </is>
      </c>
      <c r="M40" s="18" t="inlineStr">
        <is>
          <t>FIX_XML4.cs:49</t>
        </is>
      </c>
    </row>
    <row r="41">
      <c r="A41" s="18" t="n">
        <v>40</v>
      </c>
      <c r="B41" s="18" t="inlineStr">
        <is>
          <t>XML4</t>
        </is>
      </c>
      <c r="C41" s="18" t="inlineStr">
        <is>
          <t>XML4 – Chỉ số CLS</t>
        </is>
      </c>
      <c r="D41" s="18" t="inlineStr">
        <is>
          <t>KET_LUAN</t>
        </is>
      </c>
      <c r="E41" s="18" t="inlineStr">
        <is>
          <t>Rỗng</t>
        </is>
      </c>
      <c r="F41" s="18" t="inlineStr">
        <is>
          <t>Gán "KET_LUAN" + BSKhongDienTT</t>
        </is>
      </c>
      <c r="G41" s="18" t="inlineStr">
        <is>
          <t>HIS: "" → Cổng: "KET_LUAN&lt;chuỗi cấu hình&gt;"</t>
        </is>
      </c>
      <c r="H41" s="18" t="inlineStr">
        <is>
          <t>Kết luận giả.</t>
        </is>
      </c>
      <c r="I41" s="18" t="inlineStr">
        <is>
          <t>Bịa giá trị</t>
        </is>
      </c>
      <c r="J41" s="20" t="inlineStr">
        <is>
          <t>Cao</t>
        </is>
      </c>
      <c r="K41" s="18" t="inlineStr"/>
      <c r="L41" s="18" t="inlineStr">
        <is>
          <t>Khoa/người nhập sửa trên HIS rồi xuất lại; công cụ chỉ được CẢNH BÁO, không tự sửa.</t>
        </is>
      </c>
      <c r="M41" s="18" t="inlineStr">
        <is>
          <t>FIX_XML4.cs:90</t>
        </is>
      </c>
    </row>
    <row r="42">
      <c r="A42" s="18" t="n">
        <v>41</v>
      </c>
      <c r="B42" s="18" t="inlineStr">
        <is>
          <t>XML5</t>
        </is>
      </c>
      <c r="C42" s="18" t="inlineStr">
        <is>
          <t>XML5 – Diễn biến lâm sàng</t>
        </is>
      </c>
      <c r="D42" s="18" t="inlineStr">
        <is>
          <t>THOI_DIEM_DBLS</t>
        </is>
      </c>
      <c r="E42" s="18" t="inlineStr">
        <is>
          <t>&gt; giờ xuất − 3 phút</t>
        </is>
      </c>
      <c r="F42" s="18" t="inlineStr">
        <is>
          <t>Gán = giờ xuất − 3 phút</t>
        </is>
      </c>
      <c r="G42" s="18" t="inlineStr">
        <is>
          <t>HIS: thời điểm tương lai → Cổng: lúc chạy công cụ</t>
        </is>
      </c>
      <c r="H42" s="18" t="inlineStr">
        <is>
          <t>Thời điểm diễn biến bịa.</t>
        </is>
      </c>
      <c r="I42" s="18" t="inlineStr">
        <is>
          <t>Sửa thời gian</t>
        </is>
      </c>
      <c r="J42" s="20" t="inlineStr">
        <is>
          <t>Cao</t>
        </is>
      </c>
      <c r="K42" s="18" t="inlineStr"/>
      <c r="L42" s="18" t="inlineStr">
        <is>
          <t>Khoa/người nhập sửa trên HIS rồi xuất lại; công cụ chỉ được CẢNH BÁO, không tự sửa.</t>
        </is>
      </c>
      <c r="M42" s="18" t="inlineStr">
        <is>
          <t>FIX_XML5.cs:24</t>
        </is>
      </c>
    </row>
    <row r="43">
      <c r="A43" s="18" t="n">
        <v>42</v>
      </c>
      <c r="B43" s="18" t="inlineStr">
        <is>
          <t>XML5</t>
        </is>
      </c>
      <c r="C43" s="18" t="inlineStr">
        <is>
          <t>XML5 – Diễn biến lâm sàng</t>
        </is>
      </c>
      <c r="D43" s="18" t="inlineStr">
        <is>
          <t>NGUOI_THUC_HIEN</t>
        </is>
      </c>
      <c r="E43" s="18" t="inlineStr">
        <is>
          <t>Rỗng và (trước 01/07/2024 hoặc MA_LK = "000002873343")</t>
        </is>
      </c>
      <c r="F43" s="18" t="inlineStr">
        <is>
          <t>Gán CCHN trưởng khoa</t>
        </is>
      </c>
      <c r="G43" s="18" t="inlineStr">
        <is>
          <t>HIS: "" → Cổng: CCHN trưởng khoa</t>
        </is>
      </c>
      <c r="H43" s="18" t="inlineStr">
        <is>
          <t>Người ghi diễn biến bị gán. Có 1 hồ sơ cụ thể (MA_LK 000002873343) được viết cứng vào code để "chữa" riêng.</t>
        </is>
      </c>
      <c r="I43" s="18" t="inlineStr">
        <is>
          <t>Gán người khác</t>
        </is>
      </c>
      <c r="J43" s="21" t="inlineStr">
        <is>
          <t>Nghiêm trọng</t>
        </is>
      </c>
      <c r="K43" s="18" t="inlineStr">
        <is>
          <t>Mã hồ sơ viết cứng trong code.</t>
        </is>
      </c>
      <c r="L43" s="18" t="inlineStr">
        <is>
          <t>Sửa hồ sơ đó trên HIS.</t>
        </is>
      </c>
      <c r="M43" s="18" t="inlineStr">
        <is>
          <t>FIX_XML5.cs:35</t>
        </is>
      </c>
    </row>
    <row r="44">
      <c r="A44" s="18" t="n">
        <v>43</v>
      </c>
      <c r="B44" s="18" t="inlineStr">
        <is>
          <t>XML7</t>
        </is>
      </c>
      <c r="C44" s="18" t="inlineStr">
        <is>
          <t>XML7 – Giấy ra viện</t>
        </is>
      </c>
      <c r="D44" s="18" t="inlineStr">
        <is>
          <t>MA_BS, TEN_BS</t>
        </is>
      </c>
      <c r="E44" s="18" t="inlineStr">
        <is>
          <t>Rỗng</t>
        </is>
      </c>
      <c r="F44" s="18" t="inlineStr">
        <is>
          <t>Gán mã CCHN + HỌ TÊN trưởng khoa ra viện</t>
        </is>
      </c>
      <c r="G44" s="18" t="inlineStr">
        <is>
          <t>HIS: "" → Cổng: tên trưởng khoa</t>
        </is>
      </c>
      <c r="H44" s="18" t="inlineStr">
        <is>
          <t>Giấy ra viện trên cổng đứng tên người không ký; khác giấy in cho BN.</t>
        </is>
      </c>
      <c r="I44" s="18" t="inlineStr">
        <is>
          <t>Gán người khác</t>
        </is>
      </c>
      <c r="J44" s="21" t="inlineStr">
        <is>
          <t>Nghiêm trọng</t>
        </is>
      </c>
      <c r="K44" s="18" t="inlineStr"/>
      <c r="L44" s="18" t="inlineStr">
        <is>
          <t>Bắt buộc ký giấy ra viện trên HIS.</t>
        </is>
      </c>
      <c r="M44" s="18" t="inlineStr">
        <is>
          <t>FIX_XML7.cs:22</t>
        </is>
      </c>
    </row>
    <row r="45">
      <c r="A45" s="18" t="n">
        <v>44</v>
      </c>
      <c r="B45" s="18" t="inlineStr">
        <is>
          <t>XML7</t>
        </is>
      </c>
      <c r="C45" s="18" t="inlineStr">
        <is>
          <t>XML7 – Giấy ra viện</t>
        </is>
      </c>
      <c r="D45" s="18" t="inlineStr">
        <is>
          <t>PP_DIEUTRI, CHAN_DOAN_RV</t>
        </is>
      </c>
      <c r="E45" s="18" t="inlineStr">
        <is>
          <t>Rỗng / dài ≥ 745</t>
        </is>
      </c>
      <c r="F45" s="18" t="inlineStr">
        <is>
          <t>Rỗng → tên trường + BSKhongDienTT; dài → cắt 745 + "..."</t>
        </is>
      </c>
      <c r="G45" s="18" t="inlineStr">
        <is>
          <t>—</t>
        </is>
      </c>
      <c r="H45" s="18" t="inlineStr">
        <is>
          <t>Nội dung giả hoặc bị cắt.</t>
        </is>
      </c>
      <c r="I45" s="18" t="inlineStr">
        <is>
          <t>Bịa / cắt chuỗi</t>
        </is>
      </c>
      <c r="J45" s="20" t="inlineStr">
        <is>
          <t>Cao</t>
        </is>
      </c>
      <c r="K45" s="18" t="inlineStr"/>
      <c r="L45" s="18" t="inlineStr">
        <is>
          <t>Khoa/người nhập sửa trên HIS rồi xuất lại; công cụ chỉ được CẢNH BÁO, không tự sửa.</t>
        </is>
      </c>
      <c r="M45" s="18" t="inlineStr">
        <is>
          <t>FIX_XML7.cs:24</t>
        </is>
      </c>
    </row>
    <row r="46">
      <c r="A46" s="18" t="n">
        <v>45</v>
      </c>
      <c r="B46" s="18" t="inlineStr">
        <is>
          <t>XML7</t>
        </is>
      </c>
      <c r="C46" s="18" t="inlineStr">
        <is>
          <t>XML7 – Giấy ra viện</t>
        </is>
      </c>
      <c r="D46" s="18" t="inlineStr">
        <is>
          <t>MA_TTDV</t>
        </is>
      </c>
      <c r="E46" s="18" t="inlineStr">
        <is>
          <t>Luôn chạy</t>
        </is>
      </c>
      <c r="F46" s="18" t="inlineStr">
        <is>
          <t>Ghi đè theo cơ sở; BVBM: khác mã cấu hình → CCHN trưởng khoa theo XML1.MA_KHOA</t>
        </is>
      </c>
      <c r="G46" s="18" t="inlineStr">
        <is>
          <t>HIS: người ký thật → Cổng: trưởng khoa</t>
        </is>
      </c>
      <c r="H46" s="18" t="inlineStr">
        <is>
          <t>Thủ trưởng đơn vị ký trên cổng khác HIS.</t>
        </is>
      </c>
      <c r="I46" s="18" t="inlineStr">
        <is>
          <t>Gán người khác</t>
        </is>
      </c>
      <c r="J46" s="20" t="inlineStr">
        <is>
          <t>Cao</t>
        </is>
      </c>
      <c r="K46" s="18" t="inlineStr">
        <is>
          <t>Khoa không có trong danh sách → lỗi bị nuốt, MA_TTDV bị xoá rỗng.</t>
        </is>
      </c>
      <c r="L46" s="18" t="inlineStr">
        <is>
          <t>Cấu hình đúng người ký trên HIS.</t>
        </is>
      </c>
      <c r="M46" s="18" t="inlineStr">
        <is>
          <t>FIX_XML7.cs:42</t>
        </is>
      </c>
    </row>
    <row r="47">
      <c r="A47" s="18" t="n">
        <v>46</v>
      </c>
      <c r="B47" s="18" t="inlineStr">
        <is>
          <t>XML8</t>
        </is>
      </c>
      <c r="C47" s="18" t="inlineStr">
        <is>
          <t>XML8 – Tóm tắt HSBA</t>
        </is>
      </c>
      <c r="D47" s="18" t="inlineStr">
        <is>
          <t>MA_TTDV</t>
        </is>
      </c>
      <c r="E47" s="18" t="inlineStr">
        <is>
          <t>Luôn chạy</t>
        </is>
      </c>
      <c r="F47" s="18" t="inlineStr">
        <is>
          <t>Như XML7</t>
        </is>
      </c>
      <c r="G47" s="18" t="inlineStr">
        <is>
          <t>—</t>
        </is>
      </c>
      <c r="H47" s="18" t="inlineStr">
        <is>
          <t>Như XML7.</t>
        </is>
      </c>
      <c r="I47" s="18" t="inlineStr">
        <is>
          <t>Gán người khác</t>
        </is>
      </c>
      <c r="J47" s="20" t="inlineStr">
        <is>
          <t>Cao</t>
        </is>
      </c>
      <c r="K47" s="18" t="inlineStr">
        <is>
          <t>Như XML7.</t>
        </is>
      </c>
      <c r="L47" s="18" t="inlineStr">
        <is>
          <t>Như XML7.</t>
        </is>
      </c>
      <c r="M47" s="18" t="inlineStr">
        <is>
          <t>FIX_XML8.cs:22</t>
        </is>
      </c>
    </row>
    <row r="48">
      <c r="A48" s="18" t="n">
        <v>47</v>
      </c>
      <c r="B48" s="18" t="inlineStr">
        <is>
          <t>XML8</t>
        </is>
      </c>
      <c r="C48" s="18" t="inlineStr">
        <is>
          <t>XML8 – Tóm tắt HSBA</t>
        </is>
      </c>
      <c r="D48" s="18" t="inlineStr">
        <is>
          <t>PP_DIEUTRI, QT_BENHLY, TOMTAT_KQ, CHAN_DOAN_RV</t>
        </is>
      </c>
      <c r="E48" s="18" t="inlineStr">
        <is>
          <t>Rỗng / quá dài</t>
        </is>
      </c>
      <c r="F48" s="18" t="inlineStr">
        <is>
          <t>Rỗng → tên trường + BSKhongDienTT; QT_BENHLY, TOMTAT_KQ ≥ 1500 → cắt 1296; CHAN_DOAN_RV ≥ 1296 → cắt 1296</t>
        </is>
      </c>
      <c r="G48" s="18" t="inlineStr">
        <is>
          <t>—</t>
        </is>
      </c>
      <c r="H48" s="18" t="inlineStr">
        <is>
          <t>Tóm tắt bệnh án giả hoặc bị cắt.</t>
        </is>
      </c>
      <c r="I48" s="18" t="inlineStr">
        <is>
          <t>Bịa / cắt chuỗi</t>
        </is>
      </c>
      <c r="J48" s="20" t="inlineStr">
        <is>
          <t>Cao</t>
        </is>
      </c>
      <c r="K48" s="18" t="inlineStr"/>
      <c r="L48" s="18" t="inlineStr">
        <is>
          <t>Khoa/người nhập sửa trên HIS rồi xuất lại; công cụ chỉ được CẢNH BÁO, không tự sửa.</t>
        </is>
      </c>
      <c r="M48" s="18" t="inlineStr">
        <is>
          <t>FIX_XML8.cs:62</t>
        </is>
      </c>
    </row>
    <row r="49">
      <c r="A49" s="18" t="n">
        <v>48</v>
      </c>
      <c r="B49" s="18" t="inlineStr">
        <is>
          <t>XML8</t>
        </is>
      </c>
      <c r="C49" s="18" t="inlineStr">
        <is>
          <t>XML8 – Tóm tắt HSBA</t>
        </is>
      </c>
      <c r="D49" s="18" t="inlineStr">
        <is>
          <t>KET_QUA_DTRI</t>
        </is>
      </c>
      <c r="E49" s="18" t="inlineStr">
        <is>
          <t>Mọi trường hợp</t>
        </is>
      </c>
      <c r="F49" s="18" t="inlineStr">
        <is>
          <t>Rỗng → "3"; giá trị 1 ký tự ("1" Khỏi, "2" Đỡ, "4" Nặng hơn, "5" Tử vong…) cũng bị ép thành "3"</t>
        </is>
      </c>
      <c r="G49" s="18" t="inlineStr">
        <is>
          <t>HIS: "1" (Khỏi) → Cổng: "3"</t>
        </is>
      </c>
      <c r="H49" s="18" t="inlineStr">
        <is>
          <t>GẦN NHƯ MỌI hồ sơ có kết quả điều trị trên cổng = 3, kể cả ca khỏi hoặc tử vong → sai hoàn toàn so với HIS và bệnh án.</t>
        </is>
      </c>
      <c r="I49" s="18" t="inlineStr">
        <is>
          <t>Ghi đè dữ liệu</t>
        </is>
      </c>
      <c r="J49" s="21" t="inlineStr">
        <is>
          <t>Nghiêm trọng</t>
        </is>
      </c>
      <c r="K49" s="18" t="inlineStr">
        <is>
          <t>Chỉ parse khi độ dài ≥ 2; mã chuẩn chỉ có 1 ký tự nên luôn rơi vào mặc định 3.</t>
        </is>
      </c>
      <c r="L49" s="18" t="inlineStr">
        <is>
          <t>Gỡ quy tắc này; lấy đúng giá trị từ HIS.</t>
        </is>
      </c>
      <c r="M49" s="18" t="inlineStr">
        <is>
          <t>FIX_XML8.cs:86</t>
        </is>
      </c>
    </row>
    <row r="50">
      <c r="A50" s="18" t="n">
        <v>49</v>
      </c>
      <c r="B50" s="18" t="inlineStr">
        <is>
          <t>XML9</t>
        </is>
      </c>
      <c r="C50" s="18" t="inlineStr">
        <is>
          <t>XML9 – Giấy chứng sinh</t>
        </is>
      </c>
      <c r="D50" s="18" t="inlineStr">
        <is>
          <t>MA_TTDV</t>
        </is>
      </c>
      <c r="E50" s="18" t="inlineStr">
        <is>
          <t>Luôn chạy</t>
        </is>
      </c>
      <c r="F50" s="18" t="inlineStr">
        <is>
          <t>Như XML7</t>
        </is>
      </c>
      <c r="G50" s="18" t="inlineStr">
        <is>
          <t>—</t>
        </is>
      </c>
      <c r="H50" s="18" t="inlineStr">
        <is>
          <t>Như XML7.</t>
        </is>
      </c>
      <c r="I50" s="18" t="inlineStr">
        <is>
          <t>Gán người khác</t>
        </is>
      </c>
      <c r="J50" s="20" t="inlineStr">
        <is>
          <t>Cao</t>
        </is>
      </c>
      <c r="K50" s="18" t="inlineStr"/>
      <c r="L50" s="18" t="inlineStr">
        <is>
          <t>Như XML7.</t>
        </is>
      </c>
      <c r="M50" s="18" t="inlineStr">
        <is>
          <t>FIX_XML9.cs:21</t>
        </is>
      </c>
    </row>
    <row r="51">
      <c r="A51" s="18" t="n">
        <v>50</v>
      </c>
      <c r="B51" s="18" t="inlineStr">
        <is>
          <t>XML9</t>
        </is>
      </c>
      <c r="C51" s="18" t="inlineStr">
        <is>
          <t>XML9 – Giấy chứng sinh</t>
        </is>
      </c>
      <c r="D51" s="18" t="inlineStr">
        <is>
          <t>CAN_NANG_CON</t>
        </is>
      </c>
      <c r="E51" s="18" t="inlineStr">
        <is>
          <t>Rỗng</t>
        </is>
      </c>
      <c r="F51" s="18" t="inlineStr">
        <is>
          <t>Gán "3000" (gam)</t>
        </is>
      </c>
      <c r="G51" s="18" t="inlineStr">
        <is>
          <t>HIS: "" → Cổng: "3000"</t>
        </is>
      </c>
      <c r="H51" s="18" t="inlineStr">
        <is>
          <t>Cân nặng trẻ sơ sinh trên giấy chứng sinh (dữ liệu hộ tịch) bị bịa.</t>
        </is>
      </c>
      <c r="I51" s="18" t="inlineStr">
        <is>
          <t>Bịa giá trị</t>
        </is>
      </c>
      <c r="J51" s="21" t="inlineStr">
        <is>
          <t>Nghiêm trọng</t>
        </is>
      </c>
      <c r="K51" s="18" t="inlineStr"/>
      <c r="L51" s="18" t="inlineStr">
        <is>
          <t>Bắt buộc nhập cân nặng trẻ trên HIS.</t>
        </is>
      </c>
      <c r="M51" s="18" t="inlineStr">
        <is>
          <t>FIX_XML9.cs:62</t>
        </is>
      </c>
    </row>
    <row r="52">
      <c r="A52" s="18" t="n">
        <v>51</v>
      </c>
      <c r="B52" s="18" t="inlineStr">
        <is>
          <t>XML11</t>
        </is>
      </c>
      <c r="C52" s="18" t="inlineStr">
        <is>
          <t>XML11 – Giấy nghỉ hưởng BHXH</t>
        </is>
      </c>
      <c r="D52" s="18" t="inlineStr">
        <is>
          <t>DU_PHONG</t>
        </is>
      </c>
      <c r="E52" s="18" t="inlineStr">
        <is>
          <t>MA_TTDV khác giá trị tính toán</t>
        </is>
      </c>
      <c r="F52" s="18" t="inlineStr">
        <is>
          <t>Ghi toàn bộ XML của bản ghi vào DU_PHONG</t>
        </is>
      </c>
      <c r="G52" s="18" t="inlineStr">
        <is>
          <t>—</t>
        </is>
      </c>
      <c r="H52" s="18" t="inlineStr">
        <is>
          <t>Trường DU_PHONG gửi cổng chứa rác; MA_TTDV KHÔNG được sửa (khác các bảng khác).</t>
        </is>
      </c>
      <c r="I52" s="18" t="inlineStr">
        <is>
          <t>Ghi rác</t>
        </is>
      </c>
      <c r="J52" s="19" t="inlineStr">
        <is>
          <t>Trung bình</t>
        </is>
      </c>
      <c r="K52" s="18" t="inlineStr">
        <is>
          <t>Tính ttdv nhưng không gán, chỉ ghi log vào trường gửi cổng.</t>
        </is>
      </c>
      <c r="L52" s="18" t="inlineStr">
        <is>
          <t>Gỡ.</t>
        </is>
      </c>
      <c r="M52" s="18" t="inlineStr">
        <is>
          <t>FIX_XML11.cs:56</t>
        </is>
      </c>
    </row>
    <row r="53">
      <c r="A53" s="18" t="n">
        <v>52</v>
      </c>
      <c r="B53" s="18" t="inlineStr">
        <is>
          <t>XML11</t>
        </is>
      </c>
      <c r="C53" s="18" t="inlineStr">
        <is>
          <t>XML11 – Giấy nghỉ hưởng BHXH</t>
        </is>
      </c>
      <c r="D53" s="18" t="inlineStr">
        <is>
          <t>PP_DIEUTRI</t>
        </is>
      </c>
      <c r="E53" s="18" t="inlineStr">
        <is>
          <t>Rỗng</t>
        </is>
      </c>
      <c r="F53" s="18" t="inlineStr">
        <is>
          <t>Tên trường + BSKhongDienTT</t>
        </is>
      </c>
      <c r="G53" s="18" t="inlineStr">
        <is>
          <t>—</t>
        </is>
      </c>
      <c r="H53" s="18" t="inlineStr">
        <is>
          <t>Dữ liệu giả trên giấy nghỉ hưởng BHXH.</t>
        </is>
      </c>
      <c r="I53" s="18" t="inlineStr">
        <is>
          <t>Bịa giá trị</t>
        </is>
      </c>
      <c r="J53" s="20" t="inlineStr">
        <is>
          <t>Cao</t>
        </is>
      </c>
      <c r="K53" s="18" t="inlineStr"/>
      <c r="L53" s="18" t="inlineStr">
        <is>
          <t>Khoa/người nhập sửa trên HIS rồi xuất lại; công cụ chỉ được CẢNH BÁO, không tự sửa.</t>
        </is>
      </c>
      <c r="M53" s="18" t="inlineStr">
        <is>
          <t>FIX_XML11.cs:61</t>
        </is>
      </c>
    </row>
    <row r="54">
      <c r="A54" s="18" t="n">
        <v>53</v>
      </c>
      <c r="B54" s="18" t="inlineStr">
        <is>
          <t>XML11</t>
        </is>
      </c>
      <c r="C54" s="18" t="inlineStr">
        <is>
          <t>XML11 – Giấy nghỉ hưởng BHXH</t>
        </is>
      </c>
      <c r="D54" s="18" t="inlineStr">
        <is>
          <t>MA_BS</t>
        </is>
      </c>
      <c r="E54" s="18" t="inlineStr">
        <is>
          <t>Rỗng</t>
        </is>
      </c>
      <c r="F54" s="18" t="inlineStr">
        <is>
          <t>CCHN trưởng khoa</t>
        </is>
      </c>
      <c r="G54" s="18" t="inlineStr">
        <is>
          <t>—</t>
        </is>
      </c>
      <c r="H54" s="18" t="inlineStr">
        <is>
          <t>Giấy nghỉ việc hưởng BHXH đứng tên người không ký.</t>
        </is>
      </c>
      <c r="I54" s="18" t="inlineStr">
        <is>
          <t>Gán người khác</t>
        </is>
      </c>
      <c r="J54" s="21" t="inlineStr">
        <is>
          <t>Nghiêm trọng</t>
        </is>
      </c>
      <c r="K54" s="18" t="inlineStr"/>
      <c r="L54" s="18" t="inlineStr">
        <is>
          <t>Như XML7.</t>
        </is>
      </c>
      <c r="M54" s="18" t="inlineStr">
        <is>
          <t>FIX_XML11.cs:66</t>
        </is>
      </c>
    </row>
    <row r="55">
      <c r="A55" s="18" t="n">
        <v>54</v>
      </c>
      <c r="B55" s="18" t="inlineStr">
        <is>
          <t>XML13</t>
        </is>
      </c>
      <c r="C55" s="18" t="inlineStr">
        <is>
          <t>XML13 – Giấy chuyển tuyến</t>
        </is>
      </c>
      <c r="D55" s="18" t="inlineStr">
        <is>
          <t>MA_BENH_CHINH, MA_BENH_KT</t>
        </is>
      </c>
      <c r="E55" s="18" t="inlineStr">
        <is>
          <t>Luôn chạy</t>
        </is>
      </c>
      <c r="F55" s="18" t="inlineStr">
        <is>
          <t>Như XML1 (6 mã + bảng 27 mã + lọc Z)</t>
        </is>
      </c>
      <c r="G55" s="18" t="inlineStr">
        <is>
          <t>—</t>
        </is>
      </c>
      <c r="H55" s="18" t="inlineStr">
        <is>
          <t>Chẩn đoán trên giấy chuyển tuyến ở cổng khác giấy in cho BN.</t>
        </is>
      </c>
      <c r="I55" s="18" t="inlineStr">
        <is>
          <t>Thay mã ICD</t>
        </is>
      </c>
      <c r="J55" s="21" t="inlineStr">
        <is>
          <t>Nghiêm trọng</t>
        </is>
      </c>
      <c r="K55" s="18" t="inlineStr"/>
      <c r="L55" s="18" t="inlineStr">
        <is>
          <t>Như XML1.</t>
        </is>
      </c>
      <c r="M55" s="18" t="inlineStr">
        <is>
          <t>FIX_XML13.cs:21</t>
        </is>
      </c>
    </row>
    <row r="56">
      <c r="A56" s="18" t="n">
        <v>55</v>
      </c>
      <c r="B56" s="18" t="inlineStr">
        <is>
          <t>XML13</t>
        </is>
      </c>
      <c r="C56" s="18" t="inlineStr">
        <is>
          <t>XML13 – Giấy chuyển tuyến</t>
        </is>
      </c>
      <c r="D56" s="18" t="inlineStr">
        <is>
          <t>MA_TTDV</t>
        </is>
      </c>
      <c r="E56" s="18" t="inlineStr">
        <is>
          <t>Luôn chạy</t>
        </is>
      </c>
      <c r="F56" s="18" t="inlineStr">
        <is>
          <t>Như XML7</t>
        </is>
      </c>
      <c r="G56" s="18" t="inlineStr">
        <is>
          <t>—</t>
        </is>
      </c>
      <c r="H56" s="18" t="inlineStr">
        <is>
          <t>Như XML7.</t>
        </is>
      </c>
      <c r="I56" s="18" t="inlineStr">
        <is>
          <t>Gán người khác</t>
        </is>
      </c>
      <c r="J56" s="20" t="inlineStr">
        <is>
          <t>Cao</t>
        </is>
      </c>
      <c r="K56" s="18" t="inlineStr">
        <is>
          <t>Khoa không có trong danh sách → bỏ qua luôn cả các bước sửa TOMTAT_KQ/QT_BENHLY/DAU_HIEU_LS (chung khối try).</t>
        </is>
      </c>
      <c r="L56" s="18" t="inlineStr">
        <is>
          <t>Như XML7.</t>
        </is>
      </c>
      <c r="M56" s="18" t="inlineStr">
        <is>
          <t>FIX_XML13.cs:113</t>
        </is>
      </c>
    </row>
    <row r="57">
      <c r="A57" s="18" t="n">
        <v>56</v>
      </c>
      <c r="B57" s="18" t="inlineStr">
        <is>
          <t>XML13</t>
        </is>
      </c>
      <c r="C57" s="18" t="inlineStr">
        <is>
          <t>XML13 – Giấy chuyển tuyến</t>
        </is>
      </c>
      <c r="D57" s="18" t="inlineStr">
        <is>
          <t>TOMTAT_KQ, QT_BENHLY, DAU_HIEU_LS</t>
        </is>
      </c>
      <c r="E57" s="18" t="inlineStr">
        <is>
          <t>Rỗng / dài ≥ 3000</t>
        </is>
      </c>
      <c r="F57" s="18" t="inlineStr">
        <is>
          <t>Rỗng → tên trường + BSKhongDienTT; dài → cắt 2997 + "..."</t>
        </is>
      </c>
      <c r="G57" s="18" t="inlineStr">
        <is>
          <t>—</t>
        </is>
      </c>
      <c r="H57" s="18" t="inlineStr">
        <is>
          <t>Nội dung giả hoặc bị cắt.</t>
        </is>
      </c>
      <c r="I57" s="18" t="inlineStr">
        <is>
          <t>Bịa / cắt chuỗi</t>
        </is>
      </c>
      <c r="J57" s="20" t="inlineStr">
        <is>
          <t>Cao</t>
        </is>
      </c>
      <c r="K57" s="18" t="inlineStr"/>
      <c r="L57" s="18" t="inlineStr">
        <is>
          <t>Khoa/người nhập sửa trên HIS rồi xuất lại; công cụ chỉ được CẢNH BÁO, không tự sửa.</t>
        </is>
      </c>
      <c r="M57" s="18" t="inlineStr">
        <is>
          <t>FIX_XML13.cs:135</t>
        </is>
      </c>
    </row>
    <row r="58">
      <c r="A58" s="18" t="n">
        <v>57</v>
      </c>
      <c r="B58" s="18" t="inlineStr">
        <is>
          <t>XML14</t>
        </is>
      </c>
      <c r="C58" s="18" t="inlineStr">
        <is>
          <t>XML14 – Giấy hẹn khám lại</t>
        </is>
      </c>
      <c r="D58" s="18" t="inlineStr">
        <is>
          <t>MA_BENH_CHINH, MA_BENH_KT</t>
        </is>
      </c>
      <c r="E58" s="18" t="inlineStr">
        <is>
          <t>Luôn chạy</t>
        </is>
      </c>
      <c r="F58" s="18" t="inlineStr">
        <is>
          <t>Như XML1</t>
        </is>
      </c>
      <c r="G58" s="18" t="inlineStr">
        <is>
          <t>—</t>
        </is>
      </c>
      <c r="H58" s="18" t="inlineStr">
        <is>
          <t>Như XML13.</t>
        </is>
      </c>
      <c r="I58" s="18" t="inlineStr">
        <is>
          <t>Thay mã ICD</t>
        </is>
      </c>
      <c r="J58" s="21" t="inlineStr">
        <is>
          <t>Nghiêm trọng</t>
        </is>
      </c>
      <c r="K58" s="18" t="inlineStr"/>
      <c r="L58" s="18" t="inlineStr">
        <is>
          <t>Như XML1.</t>
        </is>
      </c>
      <c r="M58" s="18" t="inlineStr">
        <is>
          <t>FIX_XML14.cs:21</t>
        </is>
      </c>
    </row>
    <row r="59">
      <c r="A59" s="18" t="n">
        <v>58</v>
      </c>
      <c r="B59" s="18" t="inlineStr">
        <is>
          <t>XML14</t>
        </is>
      </c>
      <c r="C59" s="18" t="inlineStr">
        <is>
          <t>XML14 – Giấy hẹn khám lại</t>
        </is>
      </c>
      <c r="D59" s="18" t="inlineStr">
        <is>
          <t>MA_TTDV</t>
        </is>
      </c>
      <c r="E59" s="18" t="inlineStr">
        <is>
          <t>Luôn chạy</t>
        </is>
      </c>
      <c r="F59" s="18" t="inlineStr">
        <is>
          <t>Như XML7</t>
        </is>
      </c>
      <c r="G59" s="18" t="inlineStr">
        <is>
          <t>—</t>
        </is>
      </c>
      <c r="H59" s="18" t="inlineStr">
        <is>
          <t>Như XML7.</t>
        </is>
      </c>
      <c r="I59" s="18" t="inlineStr">
        <is>
          <t>Gán người khác</t>
        </is>
      </c>
      <c r="J59" s="20" t="inlineStr">
        <is>
          <t>Cao</t>
        </is>
      </c>
      <c r="K59" s="18" t="inlineStr"/>
      <c r="L59" s="18" t="inlineStr">
        <is>
          <t>Như XML7.</t>
        </is>
      </c>
      <c r="M59" s="18" t="inlineStr">
        <is>
          <t>FIX_XML14.cs:113</t>
        </is>
      </c>
    </row>
    <row r="60">
      <c r="A60" s="18" t="n">
        <v>59</v>
      </c>
      <c r="B60" s="18" t="inlineStr">
        <is>
          <t>XML14</t>
        </is>
      </c>
      <c r="C60" s="18" t="inlineStr">
        <is>
          <t>XML14 – Giấy hẹn khám lại</t>
        </is>
      </c>
      <c r="D60" s="18" t="inlineStr">
        <is>
          <t>NGAY_HEN_KL</t>
        </is>
      </c>
      <c r="E60" s="18" t="inlineStr">
        <is>
          <t>Trùng ngày với NGAY_RA</t>
        </is>
      </c>
      <c r="F60" s="18" t="inlineStr">
        <is>
          <t>Cộng thêm 1 ngày</t>
        </is>
      </c>
      <c r="G60" s="18" t="inlineStr">
        <is>
          <t>HIS: 15/10 → Cổng: 16/10</t>
        </is>
      </c>
      <c r="H60" s="18" t="inlineStr">
        <is>
          <t>Ngày hẹn trên giấy hẹn đã in cho BN khác cổng → BN tái khám đúng giấy in có thể bị từ chối/không khớp.</t>
        </is>
      </c>
      <c r="I60" s="18" t="inlineStr">
        <is>
          <t>Sửa thời gian</t>
        </is>
      </c>
      <c r="J60" s="21" t="inlineStr">
        <is>
          <t>Nghiêm trọng</t>
        </is>
      </c>
      <c r="K60" s="18" t="inlineStr">
        <is>
          <t>Parse cứng "yyyyMMdd" – giá trị có giờ phút sẽ gây lỗi.</t>
        </is>
      </c>
      <c r="L60" s="18" t="inlineStr">
        <is>
          <t>Bác sĩ hẹn đúng ngày trên HIS.</t>
        </is>
      </c>
      <c r="M60" s="18" t="inlineStr">
        <is>
          <t>FIX_XML14.cs:160</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E34"/>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16" customWidth="1" min="3" max="3"/>
    <col width="44" customWidth="1" min="4" max="4"/>
    <col width="36" customWidth="1" min="5" max="5"/>
  </cols>
  <sheetData>
    <row r="1">
      <c r="A1" s="5" t="inlineStr">
        <is>
          <t>STT</t>
        </is>
      </c>
      <c r="B1" s="5" t="inlineStr">
        <is>
          <t>Mã trên HIS</t>
        </is>
      </c>
      <c r="C1" s="5" t="inlineStr">
        <is>
          <t>Mã gửi cổng</t>
        </is>
      </c>
      <c r="D1" s="5" t="inlineStr">
        <is>
          <t>Kiểu thay</t>
        </is>
      </c>
      <c r="E1" s="5" t="inlineStr">
        <is>
          <t>Áp dụng ở</t>
        </is>
      </c>
    </row>
    <row r="2">
      <c r="A2" s="18" t="n">
        <v>1</v>
      </c>
      <c r="B2" s="18" t="inlineStr">
        <is>
          <t>U62.152</t>
        </is>
      </c>
      <c r="C2" s="18" t="inlineStr">
        <is>
          <t>M15</t>
        </is>
      </c>
      <c r="D2" s="18" t="inlineStr">
        <is>
          <t>Thay CHUỖI CON (Replace) – luôn chạy</t>
        </is>
      </c>
      <c r="E2" s="18" t="inlineStr">
        <is>
          <t>XML1, XML3, XML13, XML14</t>
        </is>
      </c>
    </row>
    <row r="3">
      <c r="A3" s="18" t="n">
        <v>2</v>
      </c>
      <c r="B3" s="18" t="inlineStr">
        <is>
          <t>A91</t>
        </is>
      </c>
      <c r="C3" s="18" t="inlineStr">
        <is>
          <t>A90</t>
        </is>
      </c>
      <c r="D3" s="18" t="inlineStr">
        <is>
          <t>Thay CHUỖI CON (Replace) – luôn chạy</t>
        </is>
      </c>
      <c r="E3" s="18" t="inlineStr">
        <is>
          <t>XML1, XML3, XML13, XML14</t>
        </is>
      </c>
    </row>
    <row r="4">
      <c r="A4" s="18" t="n">
        <v>3</v>
      </c>
      <c r="B4" s="18" t="inlineStr">
        <is>
          <t>I84</t>
        </is>
      </c>
      <c r="C4" s="18" t="inlineStr">
        <is>
          <t>K64</t>
        </is>
      </c>
      <c r="D4" s="18" t="inlineStr">
        <is>
          <t>Thay CHUỖI CON (Replace) – luôn chạy</t>
        </is>
      </c>
      <c r="E4" s="18" t="inlineStr">
        <is>
          <t>XML1, XML3, XML13, XML14</t>
        </is>
      </c>
    </row>
    <row r="5">
      <c r="A5" s="18" t="n">
        <v>4</v>
      </c>
      <c r="B5" s="18" t="inlineStr">
        <is>
          <t>N18.0</t>
        </is>
      </c>
      <c r="C5" s="18" t="inlineStr">
        <is>
          <t>N18</t>
        </is>
      </c>
      <c r="D5" s="18" t="inlineStr">
        <is>
          <t>Thay CHUỖI CON (Replace) – luôn chạy</t>
        </is>
      </c>
      <c r="E5" s="18" t="inlineStr">
        <is>
          <t>XML1, XML3, XML13, XML14</t>
        </is>
      </c>
    </row>
    <row r="6">
      <c r="A6" s="18" t="n">
        <v>5</v>
      </c>
      <c r="B6" s="18" t="inlineStr">
        <is>
          <t>U58.091</t>
        </is>
      </c>
      <c r="C6" s="18" t="inlineStr">
        <is>
          <t>I10</t>
        </is>
      </c>
      <c r="D6" s="18" t="inlineStr">
        <is>
          <t>Thay CHUỖI CON (Replace) – luôn chạy</t>
        </is>
      </c>
      <c r="E6" s="18" t="inlineStr">
        <is>
          <t>XML1, XML3, XML13, XML14</t>
        </is>
      </c>
    </row>
    <row r="7">
      <c r="A7" s="18" t="n">
        <v>6</v>
      </c>
      <c r="B7" s="18" t="inlineStr">
        <is>
          <t>U55.561</t>
        </is>
      </c>
      <c r="C7" s="18" t="inlineStr">
        <is>
          <t>G51</t>
        </is>
      </c>
      <c r="D7" s="18" t="inlineStr">
        <is>
          <t>Thay CHUỖI CON (Replace) – luôn chạy</t>
        </is>
      </c>
      <c r="E7" s="18" t="inlineStr">
        <is>
          <t>XML1, XML3, XML13, XML14</t>
        </is>
      </c>
    </row>
    <row r="8">
      <c r="A8" s="18" t="n">
        <v>7</v>
      </c>
      <c r="B8" s="18" t="inlineStr">
        <is>
          <t>A06.4</t>
        </is>
      </c>
      <c r="C8" s="18" t="inlineStr">
        <is>
          <t>A06.4†</t>
        </is>
      </c>
      <c r="D8" s="18" t="inlineStr">
        <is>
          <t>So khớp nguyên mã – "TT mới áp dụng 1.7.2026"</t>
        </is>
      </c>
      <c r="E8" s="18" t="inlineStr">
        <is>
          <t>XML1, XML13, XML14 (không áp dụng XML3)</t>
        </is>
      </c>
    </row>
    <row r="9">
      <c r="A9" s="18" t="n">
        <v>8</v>
      </c>
      <c r="B9" s="18" t="inlineStr">
        <is>
          <t>A06.8†</t>
        </is>
      </c>
      <c r="C9" s="18" t="inlineStr">
        <is>
          <t>A06.8</t>
        </is>
      </c>
      <c r="D9" s="18" t="inlineStr">
        <is>
          <t>So khớp nguyên mã – "TT mới áp dụng 1.7.2026"</t>
        </is>
      </c>
      <c r="E9" s="18" t="inlineStr">
        <is>
          <t>XML1, XML13, XML14 (không áp dụng XML3)</t>
        </is>
      </c>
    </row>
    <row r="10">
      <c r="A10" s="18" t="n">
        <v>9</v>
      </c>
      <c r="B10" s="18" t="inlineStr">
        <is>
          <t>C85.0</t>
        </is>
      </c>
      <c r="C10" s="18" t="inlineStr">
        <is>
          <t>C85.9</t>
        </is>
      </c>
      <c r="D10" s="18" t="inlineStr">
        <is>
          <t>So khớp nguyên mã – "TT mới áp dụng 1.7.2026"</t>
        </is>
      </c>
      <c r="E10" s="18" t="inlineStr">
        <is>
          <t>XML1, XML13, XML14 (không áp dụng XML3)</t>
        </is>
      </c>
    </row>
    <row r="11">
      <c r="A11" s="18" t="n">
        <v>10</v>
      </c>
      <c r="B11" s="18" t="inlineStr">
        <is>
          <t>C94.1</t>
        </is>
      </c>
      <c r="C11" s="18" t="inlineStr">
        <is>
          <t>D45</t>
        </is>
      </c>
      <c r="D11" s="18" t="inlineStr">
        <is>
          <t>So khớp nguyên mã – "TT mới áp dụng 1.7.2026"</t>
        </is>
      </c>
      <c r="E11" s="18" t="inlineStr">
        <is>
          <t>XML1, XML13, XML14 (không áp dụng XML3)</t>
        </is>
      </c>
    </row>
    <row r="12">
      <c r="A12" s="18" t="n">
        <v>11</v>
      </c>
      <c r="B12" s="18" t="inlineStr">
        <is>
          <t>D63</t>
        </is>
      </c>
      <c r="C12" s="18" t="inlineStr">
        <is>
          <t>D63.8*</t>
        </is>
      </c>
      <c r="D12" s="18" t="inlineStr">
        <is>
          <t>So khớp nguyên mã – "TT mới áp dụng 1.7.2026"</t>
        </is>
      </c>
      <c r="E12" s="18" t="inlineStr">
        <is>
          <t>XML1, XML13, XML14 (không áp dụng XML3)</t>
        </is>
      </c>
    </row>
    <row r="13">
      <c r="A13" s="18" t="n">
        <v>12</v>
      </c>
      <c r="B13" s="18" t="inlineStr">
        <is>
          <t>D75.2</t>
        </is>
      </c>
      <c r="C13" s="18" t="inlineStr">
        <is>
          <t>D47.3</t>
        </is>
      </c>
      <c r="D13" s="18" t="inlineStr">
        <is>
          <t>So khớp nguyên mã – "TT mới áp dụng 1.7.2026"</t>
        </is>
      </c>
      <c r="E13" s="18" t="inlineStr">
        <is>
          <t>XML1, XML13, XML14 (không áp dụng XML3)</t>
        </is>
      </c>
    </row>
    <row r="14">
      <c r="A14" s="18" t="n">
        <v>13</v>
      </c>
      <c r="B14" s="18" t="inlineStr">
        <is>
          <t>G46</t>
        </is>
      </c>
      <c r="C14" s="18" t="inlineStr">
        <is>
          <t>G46.8*</t>
        </is>
      </c>
      <c r="D14" s="18" t="inlineStr">
        <is>
          <t>So khớp nguyên mã – "TT mới áp dụng 1.7.2026"</t>
        </is>
      </c>
      <c r="E14" s="18" t="inlineStr">
        <is>
          <t>XML1, XML13, XML14 (không áp dụng XML3)</t>
        </is>
      </c>
    </row>
    <row r="15">
      <c r="A15" s="18" t="n">
        <v>14</v>
      </c>
      <c r="B15" s="18" t="inlineStr">
        <is>
          <t>H28</t>
        </is>
      </c>
      <c r="C15" s="18" t="inlineStr">
        <is>
          <t>H28.8*</t>
        </is>
      </c>
      <c r="D15" s="18" t="inlineStr">
        <is>
          <t>So khớp nguyên mã – "TT mới áp dụng 1.7.2026"</t>
        </is>
      </c>
      <c r="E15" s="18" t="inlineStr">
        <is>
          <t>XML1, XML13, XML14 (không áp dụng XML3)</t>
        </is>
      </c>
    </row>
    <row r="16">
      <c r="A16" s="18" t="n">
        <v>15</v>
      </c>
      <c r="B16" s="18" t="inlineStr">
        <is>
          <t>H36</t>
        </is>
      </c>
      <c r="C16" s="18" t="inlineStr">
        <is>
          <t>H36.8*</t>
        </is>
      </c>
      <c r="D16" s="18" t="inlineStr">
        <is>
          <t>So khớp nguyên mã – "TT mới áp dụng 1.7.2026"</t>
        </is>
      </c>
      <c r="E16" s="18" t="inlineStr">
        <is>
          <t>XML1, XML13, XML14 (không áp dụng XML3)</t>
        </is>
      </c>
    </row>
    <row r="17">
      <c r="A17" s="18" t="n">
        <v>16</v>
      </c>
      <c r="B17" s="18" t="inlineStr">
        <is>
          <t>H82</t>
        </is>
      </c>
      <c r="C17" s="18" t="inlineStr">
        <is>
          <t>H81.9</t>
        </is>
      </c>
      <c r="D17" s="18" t="inlineStr">
        <is>
          <t>So khớp nguyên mã – "TT mới áp dụng 1.7.2026"</t>
        </is>
      </c>
      <c r="E17" s="18" t="inlineStr">
        <is>
          <t>XML1, XML13, XML14 (không áp dụng XML3)</t>
        </is>
      </c>
    </row>
    <row r="18">
      <c r="A18" s="18" t="n">
        <v>17</v>
      </c>
      <c r="B18" s="18" t="inlineStr">
        <is>
          <t>I39</t>
        </is>
      </c>
      <c r="C18" s="18" t="inlineStr">
        <is>
          <t>I39.8*</t>
        </is>
      </c>
      <c r="D18" s="18" t="inlineStr">
        <is>
          <t>So khớp nguyên mã – "TT mới áp dụng 1.7.2026"</t>
        </is>
      </c>
      <c r="E18" s="18" t="inlineStr">
        <is>
          <t>XML1, XML13, XML14 (không áp dụng XML3)</t>
        </is>
      </c>
    </row>
    <row r="19">
      <c r="A19" s="18" t="n">
        <v>18</v>
      </c>
      <c r="B19" s="18" t="inlineStr">
        <is>
          <t>F02</t>
        </is>
      </c>
      <c r="C19" s="18" t="inlineStr">
        <is>
          <t>F02.8*</t>
        </is>
      </c>
      <c r="D19" s="18" t="inlineStr">
        <is>
          <t>So khớp nguyên mã – "TT mới áp dụng 1.7.2026"</t>
        </is>
      </c>
      <c r="E19" s="18" t="inlineStr">
        <is>
          <t>XML1, XML13, XML14 (không áp dụng XML3)</t>
        </is>
      </c>
    </row>
    <row r="20">
      <c r="A20" s="18" t="n">
        <v>19</v>
      </c>
      <c r="B20" s="18" t="inlineStr">
        <is>
          <t>I43</t>
        </is>
      </c>
      <c r="C20" s="18" t="inlineStr">
        <is>
          <t>I43.8*</t>
        </is>
      </c>
      <c r="D20" s="18" t="inlineStr">
        <is>
          <t>So khớp nguyên mã – "TT mới áp dụng 1.7.2026"</t>
        </is>
      </c>
      <c r="E20" s="18" t="inlineStr">
        <is>
          <t>XML1, XML13, XML14 (không áp dụng XML3)</t>
        </is>
      </c>
    </row>
    <row r="21">
      <c r="A21" s="18" t="n">
        <v>20</v>
      </c>
      <c r="B21" s="18" t="inlineStr">
        <is>
          <t>I68</t>
        </is>
      </c>
      <c r="C21" s="18" t="inlineStr">
        <is>
          <t>I68.8*</t>
        </is>
      </c>
      <c r="D21" s="18" t="inlineStr">
        <is>
          <t>So khớp nguyên mã – "TT mới áp dụng 1.7.2026"</t>
        </is>
      </c>
      <c r="E21" s="18" t="inlineStr">
        <is>
          <t>XML1, XML13, XML14 (không áp dụng XML3)</t>
        </is>
      </c>
    </row>
    <row r="22">
      <c r="A22" s="18" t="n">
        <v>21</v>
      </c>
      <c r="B22" s="18" t="inlineStr">
        <is>
          <t>I79</t>
        </is>
      </c>
      <c r="C22" s="18" t="inlineStr">
        <is>
          <t>I79.8*</t>
        </is>
      </c>
      <c r="D22" s="18" t="inlineStr">
        <is>
          <t>So khớp nguyên mã – "TT mới áp dụng 1.7.2026"</t>
        </is>
      </c>
      <c r="E22" s="18" t="inlineStr">
        <is>
          <t>XML1, XML13, XML14 (không áp dụng XML3)</t>
        </is>
      </c>
    </row>
    <row r="23">
      <c r="A23" s="18" t="n">
        <v>22</v>
      </c>
      <c r="B23" s="18" t="inlineStr">
        <is>
          <t>J91</t>
        </is>
      </c>
      <c r="C23" s="18" t="inlineStr">
        <is>
          <t>J91*</t>
        </is>
      </c>
      <c r="D23" s="18" t="inlineStr">
        <is>
          <t>So khớp nguyên mã – "TT mới áp dụng 1.7.2026"</t>
        </is>
      </c>
      <c r="E23" s="18" t="inlineStr">
        <is>
          <t>XML1, XML13, XML14 (không áp dụng XML3)</t>
        </is>
      </c>
    </row>
    <row r="24">
      <c r="A24" s="18" t="n">
        <v>23</v>
      </c>
      <c r="B24" s="18" t="inlineStr">
        <is>
          <t>K51.1</t>
        </is>
      </c>
      <c r="C24" s="18" t="inlineStr">
        <is>
          <t>K51.0</t>
        </is>
      </c>
      <c r="D24" s="18" t="inlineStr">
        <is>
          <t>So khớp nguyên mã – "TT mới áp dụng 1.7.2026"</t>
        </is>
      </c>
      <c r="E24" s="18" t="inlineStr">
        <is>
          <t>XML1, XML13, XML14 (không áp dụng XML3)</t>
        </is>
      </c>
    </row>
    <row r="25">
      <c r="A25" s="18" t="n">
        <v>24</v>
      </c>
      <c r="B25" s="18" t="inlineStr">
        <is>
          <t>K58.0</t>
        </is>
      </c>
      <c r="C25" s="18" t="inlineStr">
        <is>
          <t>K58.8</t>
        </is>
      </c>
      <c r="D25" s="18" t="inlineStr">
        <is>
          <t>So khớp nguyên mã – "TT mới áp dụng 1.7.2026"</t>
        </is>
      </c>
      <c r="E25" s="18" t="inlineStr">
        <is>
          <t>XML1, XML13, XML14 (không áp dụng XML3)</t>
        </is>
      </c>
    </row>
    <row r="26">
      <c r="A26" s="18" t="n">
        <v>25</v>
      </c>
      <c r="B26" s="18" t="inlineStr">
        <is>
          <t>K58.9</t>
        </is>
      </c>
      <c r="C26" s="18" t="inlineStr">
        <is>
          <t>K58.8</t>
        </is>
      </c>
      <c r="D26" s="18" t="inlineStr">
        <is>
          <t>So khớp nguyên mã – "TT mới áp dụng 1.7.2026"</t>
        </is>
      </c>
      <c r="E26" s="18" t="inlineStr">
        <is>
          <t>XML1, XML13, XML14 (không áp dụng XML3)</t>
        </is>
      </c>
    </row>
    <row r="27">
      <c r="A27" s="18" t="n">
        <v>26</v>
      </c>
      <c r="B27" s="18" t="inlineStr">
        <is>
          <t>K77</t>
        </is>
      </c>
      <c r="C27" s="18" t="inlineStr">
        <is>
          <t>K77.8*</t>
        </is>
      </c>
      <c r="D27" s="18" t="inlineStr">
        <is>
          <t>So khớp nguyên mã – "TT mới áp dụng 1.7.2026"</t>
        </is>
      </c>
      <c r="E27" s="18" t="inlineStr">
        <is>
          <t>XML1, XML13, XML14 (không áp dụng XML3)</t>
        </is>
      </c>
    </row>
    <row r="28">
      <c r="A28" s="18" t="n">
        <v>27</v>
      </c>
      <c r="B28" s="18" t="inlineStr">
        <is>
          <t>M47.00</t>
        </is>
      </c>
      <c r="C28" s="18" t="inlineStr">
        <is>
          <t>M47.00†</t>
        </is>
      </c>
      <c r="D28" s="18" t="inlineStr">
        <is>
          <t>So khớp nguyên mã – "TT mới áp dụng 1.7.2026"</t>
        </is>
      </c>
      <c r="E28" s="18" t="inlineStr">
        <is>
          <t>XML1, XML13, XML14 (không áp dụng XML3)</t>
        </is>
      </c>
    </row>
    <row r="29">
      <c r="A29" s="18" t="n">
        <v>28</v>
      </c>
      <c r="B29" s="18" t="inlineStr">
        <is>
          <t>N18.8</t>
        </is>
      </c>
      <c r="C29" s="18" t="inlineStr">
        <is>
          <t>N18.9</t>
        </is>
      </c>
      <c r="D29" s="18" t="inlineStr">
        <is>
          <t>So khớp nguyên mã – "TT mới áp dụng 1.7.2026"</t>
        </is>
      </c>
      <c r="E29" s="18" t="inlineStr">
        <is>
          <t>XML1, XML13, XML14 (không áp dụng XML3)</t>
        </is>
      </c>
    </row>
    <row r="30">
      <c r="A30" s="18" t="n">
        <v>29</v>
      </c>
      <c r="B30" s="18" t="inlineStr">
        <is>
          <t>C94.5</t>
        </is>
      </c>
      <c r="C30" s="18" t="inlineStr">
        <is>
          <t>D47.4</t>
        </is>
      </c>
      <c r="D30" s="18" t="inlineStr">
        <is>
          <t>So khớp nguyên mã – "TT mới áp dụng 1.7.2026"</t>
        </is>
      </c>
      <c r="E30" s="18" t="inlineStr">
        <is>
          <t>XML1, XML13, XML14 (không áp dụng XML3)</t>
        </is>
      </c>
    </row>
    <row r="31">
      <c r="A31" s="18" t="n">
        <v>30</v>
      </c>
      <c r="B31" s="18" t="inlineStr">
        <is>
          <t>K35.9</t>
        </is>
      </c>
      <c r="C31" s="18" t="inlineStr">
        <is>
          <t>K35.8</t>
        </is>
      </c>
      <c r="D31" s="18" t="inlineStr">
        <is>
          <t>So khớp nguyên mã – "TT mới áp dụng 1.7.2026"</t>
        </is>
      </c>
      <c r="E31" s="18" t="inlineStr">
        <is>
          <t>XML1, XML13, XML14 (không áp dụng XML3)</t>
        </is>
      </c>
    </row>
    <row r="32">
      <c r="A32" s="18" t="n">
        <v>31</v>
      </c>
      <c r="B32" s="18" t="inlineStr">
        <is>
          <t>C91.2</t>
        </is>
      </c>
      <c r="C32" s="18" t="inlineStr">
        <is>
          <t>C91.9</t>
        </is>
      </c>
      <c r="D32" s="18" t="inlineStr">
        <is>
          <t>So khớp nguyên mã – "TT mới áp dụng 1.7.2026"</t>
        </is>
      </c>
      <c r="E32" s="18" t="inlineStr">
        <is>
          <t>XML1, XML13, XML14 (không áp dụng XML3)</t>
        </is>
      </c>
    </row>
    <row r="33">
      <c r="A33" s="18" t="n">
        <v>32</v>
      </c>
      <c r="B33" s="18" t="inlineStr">
        <is>
          <t>K35.0</t>
        </is>
      </c>
      <c r="C33" s="18" t="inlineStr">
        <is>
          <t>K35.8</t>
        </is>
      </c>
      <c r="D33" s="18" t="inlineStr">
        <is>
          <t>So khớp nguyên mã – "TT mới áp dụng 1.7.2026"</t>
        </is>
      </c>
      <c r="E33" s="18" t="inlineStr">
        <is>
          <t>XML1, XML13, XML14 (không áp dụng XML3)</t>
        </is>
      </c>
    </row>
    <row r="34">
      <c r="A34" s="18" t="n">
        <v>33</v>
      </c>
      <c r="B34" s="18" t="inlineStr">
        <is>
          <t>G02</t>
        </is>
      </c>
      <c r="C34" s="18" t="inlineStr">
        <is>
          <t>G02.8*</t>
        </is>
      </c>
      <c r="D34" s="18" t="inlineStr">
        <is>
          <t>So khớp nguyên mã – "TT mới áp dụng 1.7.2026"</t>
        </is>
      </c>
      <c r="E34" s="18" t="inlineStr">
        <is>
          <t>XML1, XML13, XML14 (không áp dụng XML3)</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05"/>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s>
  <sheetData>
    <row r="1">
      <c r="A1" s="5" t="inlineStr">
        <is>
          <t>STT</t>
        </is>
      </c>
      <c r="B1" s="5" t="inlineStr">
        <is>
          <t>Mã ICD bị loại khỏi MA_BENH_KT</t>
        </is>
      </c>
    </row>
    <row r="2">
      <c r="A2" s="18" t="n">
        <v>1</v>
      </c>
      <c r="B2" s="18" t="inlineStr">
        <is>
          <t>Z00.0</t>
        </is>
      </c>
    </row>
    <row r="3">
      <c r="A3" s="18" t="n">
        <v>2</v>
      </c>
      <c r="B3" s="18" t="inlineStr">
        <is>
          <t>Z00.1</t>
        </is>
      </c>
    </row>
    <row r="4">
      <c r="A4" s="18" t="n">
        <v>3</v>
      </c>
      <c r="B4" s="18" t="inlineStr">
        <is>
          <t>Z00.2</t>
        </is>
      </c>
    </row>
    <row r="5">
      <c r="A5" s="18" t="n">
        <v>4</v>
      </c>
      <c r="B5" s="18" t="inlineStr">
        <is>
          <t>Z00.3</t>
        </is>
      </c>
    </row>
    <row r="6">
      <c r="A6" s="18" t="n">
        <v>5</v>
      </c>
      <c r="B6" s="18" t="inlineStr">
        <is>
          <t>Z00.4</t>
        </is>
      </c>
    </row>
    <row r="7">
      <c r="A7" s="18" t="n">
        <v>6</v>
      </c>
      <c r="B7" s="18" t="inlineStr">
        <is>
          <t>Z00.5</t>
        </is>
      </c>
    </row>
    <row r="8">
      <c r="A8" s="18" t="n">
        <v>7</v>
      </c>
      <c r="B8" s="18" t="inlineStr">
        <is>
          <t>Z00.6</t>
        </is>
      </c>
    </row>
    <row r="9">
      <c r="A9" s="18" t="n">
        <v>8</v>
      </c>
      <c r="B9" s="18" t="inlineStr">
        <is>
          <t>Z00.8</t>
        </is>
      </c>
    </row>
    <row r="10">
      <c r="A10" s="18" t="n">
        <v>9</v>
      </c>
      <c r="B10" s="18" t="inlineStr">
        <is>
          <t>Z01</t>
        </is>
      </c>
    </row>
    <row r="11">
      <c r="A11" s="18" t="n">
        <v>10</v>
      </c>
      <c r="B11" s="18" t="inlineStr">
        <is>
          <t>Z01.0</t>
        </is>
      </c>
    </row>
    <row r="12">
      <c r="A12" s="18" t="n">
        <v>11</v>
      </c>
      <c r="B12" s="18" t="inlineStr">
        <is>
          <t>Z01.1</t>
        </is>
      </c>
    </row>
    <row r="13">
      <c r="A13" s="18" t="n">
        <v>12</v>
      </c>
      <c r="B13" s="18" t="inlineStr">
        <is>
          <t>Z01.2</t>
        </is>
      </c>
    </row>
    <row r="14">
      <c r="A14" s="18" t="n">
        <v>13</v>
      </c>
      <c r="B14" s="18" t="inlineStr">
        <is>
          <t>Z01.3</t>
        </is>
      </c>
    </row>
    <row r="15">
      <c r="A15" s="18" t="n">
        <v>14</v>
      </c>
      <c r="B15" s="18" t="inlineStr">
        <is>
          <t>Z01.4</t>
        </is>
      </c>
    </row>
    <row r="16">
      <c r="A16" s="18" t="n">
        <v>15</v>
      </c>
      <c r="B16" s="18" t="inlineStr">
        <is>
          <t>Z01.5</t>
        </is>
      </c>
    </row>
    <row r="17">
      <c r="A17" s="18" t="n">
        <v>16</v>
      </c>
      <c r="B17" s="18" t="inlineStr">
        <is>
          <t>Z01.6</t>
        </is>
      </c>
    </row>
    <row r="18">
      <c r="A18" s="18" t="n">
        <v>17</v>
      </c>
      <c r="B18" s="18" t="inlineStr">
        <is>
          <t>Z01.7</t>
        </is>
      </c>
    </row>
    <row r="19">
      <c r="A19" s="18" t="n">
        <v>18</v>
      </c>
      <c r="B19" s="18" t="inlineStr">
        <is>
          <t>Z01.8</t>
        </is>
      </c>
    </row>
    <row r="20">
      <c r="A20" s="18" t="n">
        <v>19</v>
      </c>
      <c r="B20" s="18" t="inlineStr">
        <is>
          <t>Z01.9</t>
        </is>
      </c>
    </row>
    <row r="21">
      <c r="A21" s="18" t="n">
        <v>20</v>
      </c>
      <c r="B21" s="18" t="inlineStr">
        <is>
          <t>Z02</t>
        </is>
      </c>
    </row>
    <row r="22">
      <c r="A22" s="18" t="n">
        <v>21</v>
      </c>
      <c r="B22" s="18" t="inlineStr">
        <is>
          <t>Z02.0</t>
        </is>
      </c>
    </row>
    <row r="23">
      <c r="A23" s="18" t="n">
        <v>22</v>
      </c>
      <c r="B23" s="18" t="inlineStr">
        <is>
          <t>Z02.1</t>
        </is>
      </c>
    </row>
    <row r="24">
      <c r="A24" s="18" t="n">
        <v>23</v>
      </c>
      <c r="B24" s="18" t="inlineStr">
        <is>
          <t>Z02.2</t>
        </is>
      </c>
    </row>
    <row r="25">
      <c r="A25" s="18" t="n">
        <v>24</v>
      </c>
      <c r="B25" s="18" t="inlineStr">
        <is>
          <t>Z02.3</t>
        </is>
      </c>
    </row>
    <row r="26">
      <c r="A26" s="18" t="n">
        <v>25</v>
      </c>
      <c r="B26" s="18" t="inlineStr">
        <is>
          <t>Z02.4</t>
        </is>
      </c>
    </row>
    <row r="27">
      <c r="A27" s="18" t="n">
        <v>26</v>
      </c>
      <c r="B27" s="18" t="inlineStr">
        <is>
          <t>Z02.5</t>
        </is>
      </c>
    </row>
    <row r="28">
      <c r="A28" s="18" t="n">
        <v>27</v>
      </c>
      <c r="B28" s="18" t="inlineStr">
        <is>
          <t>Z02.6</t>
        </is>
      </c>
    </row>
    <row r="29">
      <c r="A29" s="18" t="n">
        <v>28</v>
      </c>
      <c r="B29" s="18" t="inlineStr">
        <is>
          <t>Z02.7</t>
        </is>
      </c>
    </row>
    <row r="30">
      <c r="A30" s="18" t="n">
        <v>29</v>
      </c>
      <c r="B30" s="18" t="inlineStr">
        <is>
          <t>Z02.8</t>
        </is>
      </c>
    </row>
    <row r="31">
      <c r="A31" s="18" t="n">
        <v>30</v>
      </c>
      <c r="B31" s="18" t="inlineStr">
        <is>
          <t>Z12.2</t>
        </is>
      </c>
    </row>
    <row r="32">
      <c r="A32" s="18" t="n">
        <v>31</v>
      </c>
      <c r="B32" s="18" t="inlineStr">
        <is>
          <t>Z12.3</t>
        </is>
      </c>
    </row>
    <row r="33">
      <c r="A33" s="18" t="n">
        <v>32</v>
      </c>
      <c r="B33" s="18" t="inlineStr">
        <is>
          <t>Z12.4</t>
        </is>
      </c>
    </row>
    <row r="34">
      <c r="A34" s="18" t="n">
        <v>33</v>
      </c>
      <c r="B34" s="18" t="inlineStr">
        <is>
          <t>Z12.5</t>
        </is>
      </c>
    </row>
    <row r="35">
      <c r="A35" s="18" t="n">
        <v>34</v>
      </c>
      <c r="B35" s="18" t="inlineStr">
        <is>
          <t>Z12.6</t>
        </is>
      </c>
    </row>
    <row r="36">
      <c r="A36" s="18" t="n">
        <v>35</v>
      </c>
      <c r="B36" s="18" t="inlineStr">
        <is>
          <t>Z12.8</t>
        </is>
      </c>
    </row>
    <row r="37">
      <c r="A37" s="18" t="n">
        <v>36</v>
      </c>
      <c r="B37" s="18" t="inlineStr">
        <is>
          <t>Z12.9</t>
        </is>
      </c>
    </row>
    <row r="38">
      <c r="A38" s="18" t="n">
        <v>37</v>
      </c>
      <c r="B38" s="18" t="inlineStr">
        <is>
          <t>Z13</t>
        </is>
      </c>
    </row>
    <row r="39">
      <c r="A39" s="18" t="n">
        <v>38</v>
      </c>
      <c r="B39" s="18" t="inlineStr">
        <is>
          <t>Z13.0</t>
        </is>
      </c>
    </row>
    <row r="40">
      <c r="A40" s="18" t="n">
        <v>39</v>
      </c>
      <c r="B40" s="18" t="inlineStr">
        <is>
          <t>Z13.1</t>
        </is>
      </c>
    </row>
    <row r="41">
      <c r="A41" s="18" t="n">
        <v>40</v>
      </c>
      <c r="B41" s="18" t="inlineStr">
        <is>
          <t>Z13.2</t>
        </is>
      </c>
    </row>
    <row r="42">
      <c r="A42" s="18" t="n">
        <v>41</v>
      </c>
      <c r="B42" s="18" t="inlineStr">
        <is>
          <t>Z13.3</t>
        </is>
      </c>
    </row>
    <row r="43">
      <c r="A43" s="18" t="n">
        <v>42</v>
      </c>
      <c r="B43" s="18" t="inlineStr">
        <is>
          <t>Z13.4</t>
        </is>
      </c>
    </row>
    <row r="44">
      <c r="A44" s="18" t="n">
        <v>43</v>
      </c>
      <c r="B44" s="18" t="inlineStr">
        <is>
          <t>Z13.5</t>
        </is>
      </c>
    </row>
    <row r="45">
      <c r="A45" s="18" t="n">
        <v>44</v>
      </c>
      <c r="B45" s="18" t="inlineStr">
        <is>
          <t>Z13.6</t>
        </is>
      </c>
    </row>
    <row r="46">
      <c r="A46" s="18" t="n">
        <v>45</v>
      </c>
      <c r="B46" s="18" t="inlineStr">
        <is>
          <t>Z13.7</t>
        </is>
      </c>
    </row>
    <row r="47">
      <c r="A47" s="18" t="n">
        <v>46</v>
      </c>
      <c r="B47" s="18" t="inlineStr">
        <is>
          <t>Z13.8</t>
        </is>
      </c>
    </row>
    <row r="48">
      <c r="A48" s="18" t="n">
        <v>47</v>
      </c>
      <c r="B48" s="18" t="inlineStr">
        <is>
          <t>Z13.9</t>
        </is>
      </c>
    </row>
    <row r="49">
      <c r="A49" s="18" t="n">
        <v>48</v>
      </c>
      <c r="B49" s="18" t="inlineStr">
        <is>
          <t>Z02.9</t>
        </is>
      </c>
    </row>
    <row r="50">
      <c r="A50" s="18" t="n">
        <v>49</v>
      </c>
      <c r="B50" s="18" t="inlineStr">
        <is>
          <t>Z03</t>
        </is>
      </c>
    </row>
    <row r="51">
      <c r="A51" s="18" t="n">
        <v>50</v>
      </c>
      <c r="B51" s="18" t="inlineStr">
        <is>
          <t>Z03.0</t>
        </is>
      </c>
    </row>
    <row r="52">
      <c r="A52" s="18" t="n">
        <v>51</v>
      </c>
      <c r="B52" s="18" t="inlineStr">
        <is>
          <t>Z03.1</t>
        </is>
      </c>
    </row>
    <row r="53">
      <c r="A53" s="18" t="n">
        <v>52</v>
      </c>
      <c r="B53" s="18" t="inlineStr">
        <is>
          <t>Z03.2</t>
        </is>
      </c>
    </row>
    <row r="54">
      <c r="A54" s="18" t="n">
        <v>53</v>
      </c>
      <c r="B54" s="18" t="inlineStr">
        <is>
          <t>Z03.3</t>
        </is>
      </c>
    </row>
    <row r="55">
      <c r="A55" s="18" t="n">
        <v>54</v>
      </c>
      <c r="B55" s="18" t="inlineStr">
        <is>
          <t>Z03.4</t>
        </is>
      </c>
    </row>
    <row r="56">
      <c r="A56" s="18" t="n">
        <v>55</v>
      </c>
      <c r="B56" s="18" t="inlineStr">
        <is>
          <t>Z03.5</t>
        </is>
      </c>
    </row>
    <row r="57">
      <c r="A57" s="18" t="n">
        <v>56</v>
      </c>
      <c r="B57" s="18" t="inlineStr">
        <is>
          <t>Z03.6</t>
        </is>
      </c>
    </row>
    <row r="58">
      <c r="A58" s="18" t="n">
        <v>57</v>
      </c>
      <c r="B58" s="18" t="inlineStr">
        <is>
          <t>Z03.8</t>
        </is>
      </c>
    </row>
    <row r="59">
      <c r="A59" s="18" t="n">
        <v>58</v>
      </c>
      <c r="B59" s="18" t="inlineStr">
        <is>
          <t>Z03.9</t>
        </is>
      </c>
    </row>
    <row r="60">
      <c r="A60" s="18" t="n">
        <v>59</v>
      </c>
      <c r="B60" s="18" t="inlineStr">
        <is>
          <t>Z04</t>
        </is>
      </c>
    </row>
    <row r="61">
      <c r="A61" s="18" t="n">
        <v>60</v>
      </c>
      <c r="B61" s="18" t="inlineStr">
        <is>
          <t>Z04.0</t>
        </is>
      </c>
    </row>
    <row r="62">
      <c r="A62" s="18" t="n">
        <v>61</v>
      </c>
      <c r="B62" s="18" t="inlineStr">
        <is>
          <t>Z04.1</t>
        </is>
      </c>
    </row>
    <row r="63">
      <c r="A63" s="18" t="n">
        <v>62</v>
      </c>
      <c r="B63" s="18" t="inlineStr">
        <is>
          <t>Z04.2</t>
        </is>
      </c>
    </row>
    <row r="64">
      <c r="A64" s="18" t="n">
        <v>63</v>
      </c>
      <c r="B64" s="18" t="inlineStr">
        <is>
          <t>Z04.3</t>
        </is>
      </c>
    </row>
    <row r="65">
      <c r="A65" s="18" t="n">
        <v>64</v>
      </c>
      <c r="B65" s="18" t="inlineStr">
        <is>
          <t>Z04.4</t>
        </is>
      </c>
    </row>
    <row r="66">
      <c r="A66" s="18" t="n">
        <v>65</v>
      </c>
      <c r="B66" s="18" t="inlineStr">
        <is>
          <t>Z04.5</t>
        </is>
      </c>
    </row>
    <row r="67">
      <c r="A67" s="18" t="n">
        <v>66</v>
      </c>
      <c r="B67" s="18" t="inlineStr">
        <is>
          <t>Z04.6</t>
        </is>
      </c>
    </row>
    <row r="68">
      <c r="A68" s="18" t="n">
        <v>67</v>
      </c>
      <c r="B68" s="18" t="inlineStr">
        <is>
          <t>Z04.8</t>
        </is>
      </c>
    </row>
    <row r="69">
      <c r="A69" s="18" t="n">
        <v>68</v>
      </c>
      <c r="B69" s="18" t="inlineStr">
        <is>
          <t>Z04.9</t>
        </is>
      </c>
    </row>
    <row r="70">
      <c r="A70" s="18" t="n">
        <v>69</v>
      </c>
      <c r="B70" s="18" t="inlineStr">
        <is>
          <t>Z08</t>
        </is>
      </c>
    </row>
    <row r="71">
      <c r="A71" s="18" t="n">
        <v>70</v>
      </c>
      <c r="B71" s="18" t="inlineStr">
        <is>
          <t>Z08.0</t>
        </is>
      </c>
    </row>
    <row r="72">
      <c r="A72" s="18" t="n">
        <v>71</v>
      </c>
      <c r="B72" s="18" t="inlineStr">
        <is>
          <t>Z08.1</t>
        </is>
      </c>
    </row>
    <row r="73">
      <c r="A73" s="18" t="n">
        <v>72</v>
      </c>
      <c r="B73" s="18" t="inlineStr">
        <is>
          <t>Z08.2</t>
        </is>
      </c>
    </row>
    <row r="74">
      <c r="A74" s="18" t="n">
        <v>73</v>
      </c>
      <c r="B74" s="18" t="inlineStr">
        <is>
          <t>Z08.7</t>
        </is>
      </c>
    </row>
    <row r="75">
      <c r="A75" s="18" t="n">
        <v>74</v>
      </c>
      <c r="B75" s="18" t="inlineStr">
        <is>
          <t>Z08.8</t>
        </is>
      </c>
    </row>
    <row r="76">
      <c r="A76" s="18" t="n">
        <v>75</v>
      </c>
      <c r="B76" s="18" t="inlineStr">
        <is>
          <t>Z08.9</t>
        </is>
      </c>
    </row>
    <row r="77">
      <c r="A77" s="18" t="n">
        <v>76</v>
      </c>
      <c r="B77" s="18" t="inlineStr">
        <is>
          <t>Z09</t>
        </is>
      </c>
    </row>
    <row r="78">
      <c r="A78" s="18" t="n">
        <v>77</v>
      </c>
      <c r="B78" s="18" t="inlineStr">
        <is>
          <t>Z09.0</t>
        </is>
      </c>
    </row>
    <row r="79">
      <c r="A79" s="18" t="n">
        <v>78</v>
      </c>
      <c r="B79" s="18" t="inlineStr">
        <is>
          <t>Z09.1</t>
        </is>
      </c>
    </row>
    <row r="80">
      <c r="A80" s="18" t="n">
        <v>79</v>
      </c>
      <c r="B80" s="18" t="inlineStr">
        <is>
          <t>Z09.2</t>
        </is>
      </c>
    </row>
    <row r="81">
      <c r="A81" s="18" t="n">
        <v>80</v>
      </c>
      <c r="B81" s="18" t="inlineStr">
        <is>
          <t>Z09.3</t>
        </is>
      </c>
    </row>
    <row r="82">
      <c r="A82" s="18" t="n">
        <v>81</v>
      </c>
      <c r="B82" s="18" t="inlineStr">
        <is>
          <t>Z09.4</t>
        </is>
      </c>
    </row>
    <row r="83">
      <c r="A83" s="18" t="n">
        <v>82</v>
      </c>
      <c r="B83" s="18" t="inlineStr">
        <is>
          <t>Z09.7</t>
        </is>
      </c>
    </row>
    <row r="84">
      <c r="A84" s="18" t="n">
        <v>83</v>
      </c>
      <c r="B84" s="18" t="inlineStr">
        <is>
          <t>Z09.8</t>
        </is>
      </c>
    </row>
    <row r="85">
      <c r="A85" s="18" t="n">
        <v>84</v>
      </c>
      <c r="B85" s="18" t="inlineStr">
        <is>
          <t>Z09.9</t>
        </is>
      </c>
    </row>
    <row r="86">
      <c r="A86" s="18" t="n">
        <v>85</v>
      </c>
      <c r="B86" s="18" t="inlineStr">
        <is>
          <t>Z10</t>
        </is>
      </c>
    </row>
    <row r="87">
      <c r="A87" s="18" t="n">
        <v>86</v>
      </c>
      <c r="B87" s="18" t="inlineStr">
        <is>
          <t>Z10.0</t>
        </is>
      </c>
    </row>
    <row r="88">
      <c r="A88" s="18" t="n">
        <v>87</v>
      </c>
      <c r="B88" s="18" t="inlineStr">
        <is>
          <t>Z10.1</t>
        </is>
      </c>
    </row>
    <row r="89">
      <c r="A89" s="18" t="n">
        <v>88</v>
      </c>
      <c r="B89" s="18" t="inlineStr">
        <is>
          <t>Z10.2</t>
        </is>
      </c>
    </row>
    <row r="90">
      <c r="A90" s="18" t="n">
        <v>89</v>
      </c>
      <c r="B90" s="18" t="inlineStr">
        <is>
          <t>Z10.3</t>
        </is>
      </c>
    </row>
    <row r="91">
      <c r="A91" s="18" t="n">
        <v>90</v>
      </c>
      <c r="B91" s="18" t="inlineStr">
        <is>
          <t>Z10.8</t>
        </is>
      </c>
    </row>
    <row r="92">
      <c r="A92" s="18" t="n">
        <v>91</v>
      </c>
      <c r="B92" s="18" t="inlineStr">
        <is>
          <t>Z11</t>
        </is>
      </c>
    </row>
    <row r="93">
      <c r="A93" s="18" t="n">
        <v>92</v>
      </c>
      <c r="B93" s="18" t="inlineStr">
        <is>
          <t>Z11.0</t>
        </is>
      </c>
    </row>
    <row r="94">
      <c r="A94" s="18" t="n">
        <v>93</v>
      </c>
      <c r="B94" s="18" t="inlineStr">
        <is>
          <t>Z11.1</t>
        </is>
      </c>
    </row>
    <row r="95">
      <c r="A95" s="18" t="n">
        <v>94</v>
      </c>
      <c r="B95" s="18" t="inlineStr">
        <is>
          <t>Z11.2</t>
        </is>
      </c>
    </row>
    <row r="96">
      <c r="A96" s="18" t="n">
        <v>95</v>
      </c>
      <c r="B96" s="18" t="inlineStr">
        <is>
          <t>Z11.3</t>
        </is>
      </c>
    </row>
    <row r="97">
      <c r="A97" s="18" t="n">
        <v>96</v>
      </c>
      <c r="B97" s="18" t="inlineStr">
        <is>
          <t>Z11.4</t>
        </is>
      </c>
    </row>
    <row r="98">
      <c r="A98" s="18" t="n">
        <v>97</v>
      </c>
      <c r="B98" s="18" t="inlineStr">
        <is>
          <t>Z11.5</t>
        </is>
      </c>
    </row>
    <row r="99">
      <c r="A99" s="18" t="n">
        <v>98</v>
      </c>
      <c r="B99" s="18" t="inlineStr">
        <is>
          <t>Z11.6</t>
        </is>
      </c>
    </row>
    <row r="100">
      <c r="A100" s="18" t="n">
        <v>99</v>
      </c>
      <c r="B100" s="18" t="inlineStr">
        <is>
          <t>Z11.8</t>
        </is>
      </c>
    </row>
    <row r="101">
      <c r="A101" s="18" t="n">
        <v>100</v>
      </c>
      <c r="B101" s="18" t="inlineStr">
        <is>
          <t>Z11.9</t>
        </is>
      </c>
    </row>
    <row r="102">
      <c r="A102" s="18" t="n">
        <v>101</v>
      </c>
      <c r="B102" s="18" t="inlineStr">
        <is>
          <t>Z12</t>
        </is>
      </c>
    </row>
    <row r="103">
      <c r="A103" s="18" t="n">
        <v>102</v>
      </c>
      <c r="B103" s="18" t="inlineStr">
        <is>
          <t>Z12.0</t>
        </is>
      </c>
    </row>
    <row r="104">
      <c r="A104" s="18" t="n">
        <v>103</v>
      </c>
      <c r="B104" s="18" t="inlineStr">
        <is>
          <t>Z12.1</t>
        </is>
      </c>
    </row>
    <row r="105">
      <c r="A105" s="18" t="n">
        <v>104</v>
      </c>
      <c r="B105" s="18" t="inlineStr">
        <is>
          <t>Z00</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72"/>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8" customWidth="1" min="3" max="3"/>
  </cols>
  <sheetData>
    <row r="1">
      <c r="A1" s="5" t="inlineStr">
        <is>
          <t>STT</t>
        </is>
      </c>
      <c r="B1" s="5" t="inlineStr">
        <is>
          <t>MA_DICH_VU (XML3)</t>
        </is>
      </c>
      <c r="C1" s="5" t="inlineStr">
        <is>
          <t>MA_VAT_TU bị gán khi rỗng</t>
        </is>
      </c>
    </row>
    <row r="2">
      <c r="A2" s="18" t="n">
        <v>1</v>
      </c>
      <c r="B2" s="18" t="inlineStr">
        <is>
          <t>19.0187.1835</t>
        </is>
      </c>
      <c r="C2" s="18" t="inlineStr">
        <is>
          <t>40P.16+40P.52</t>
        </is>
      </c>
    </row>
    <row r="3">
      <c r="A3" s="18" t="n">
        <v>2</v>
      </c>
      <c r="B3" s="18" t="inlineStr">
        <is>
          <t>19.0114.1828</t>
        </is>
      </c>
      <c r="C3" s="18" t="inlineStr">
        <is>
          <t>40P.26</t>
        </is>
      </c>
    </row>
    <row r="4">
      <c r="A4" s="18" t="n">
        <v>3</v>
      </c>
      <c r="B4" s="18" t="inlineStr">
        <is>
          <t>19.0115.1856</t>
        </is>
      </c>
      <c r="C4" s="18" t="inlineStr">
        <is>
          <t>40P.26</t>
        </is>
      </c>
    </row>
    <row r="5">
      <c r="A5" s="18" t="n">
        <v>4</v>
      </c>
      <c r="B5" s="18" t="inlineStr">
        <is>
          <t>19.0118.1862</t>
        </is>
      </c>
      <c r="C5" s="18" t="inlineStr">
        <is>
          <t>40P.26</t>
        </is>
      </c>
    </row>
    <row r="6">
      <c r="A6" s="18" t="n">
        <v>5</v>
      </c>
      <c r="B6" s="18" t="inlineStr">
        <is>
          <t>19.0120.1862</t>
        </is>
      </c>
      <c r="C6" s="18" t="inlineStr">
        <is>
          <t>40P.26</t>
        </is>
      </c>
    </row>
    <row r="7">
      <c r="A7" s="18" t="n">
        <v>6</v>
      </c>
      <c r="B7" s="18" t="inlineStr">
        <is>
          <t>19.0340.1871</t>
        </is>
      </c>
      <c r="C7" s="18" t="inlineStr">
        <is>
          <t>40P.26</t>
        </is>
      </c>
    </row>
    <row r="8">
      <c r="A8" s="18" t="n">
        <v>7</v>
      </c>
      <c r="B8" s="18" t="inlineStr">
        <is>
          <t>19.0341.1870</t>
        </is>
      </c>
      <c r="C8" s="18" t="inlineStr">
        <is>
          <t>40P.26</t>
        </is>
      </c>
    </row>
    <row r="9">
      <c r="A9" s="18" t="n">
        <v>8</v>
      </c>
      <c r="B9" s="18" t="inlineStr">
        <is>
          <t>19.0342.1870</t>
        </is>
      </c>
      <c r="C9" s="18" t="inlineStr">
        <is>
          <t>40P.26</t>
        </is>
      </c>
    </row>
    <row r="10">
      <c r="A10" s="18" t="n">
        <v>9</v>
      </c>
      <c r="B10" s="18" t="inlineStr">
        <is>
          <t>12.0360.1870</t>
        </is>
      </c>
      <c r="C10" s="18" t="inlineStr">
        <is>
          <t>40P.26</t>
        </is>
      </c>
    </row>
    <row r="11">
      <c r="A11" s="18" t="n">
        <v>10</v>
      </c>
      <c r="B11" s="18" t="inlineStr">
        <is>
          <t>12.0362.1870</t>
        </is>
      </c>
      <c r="C11" s="18" t="inlineStr">
        <is>
          <t>40P.26</t>
        </is>
      </c>
    </row>
    <row r="12">
      <c r="A12" s="18" t="n">
        <v>11</v>
      </c>
      <c r="B12" s="18" t="inlineStr">
        <is>
          <t>19.0177.1838</t>
        </is>
      </c>
      <c r="C12" s="18" t="inlineStr">
        <is>
          <t>40P.35+40P.52</t>
        </is>
      </c>
    </row>
    <row r="13">
      <c r="A13" s="18" t="n">
        <v>12</v>
      </c>
      <c r="B13" s="18" t="inlineStr">
        <is>
          <t>19.0174.1866</t>
        </is>
      </c>
      <c r="C13" s="18" t="inlineStr">
        <is>
          <t>40P.36+40P.52</t>
        </is>
      </c>
    </row>
    <row r="14">
      <c r="A14" s="18" t="n">
        <v>13</v>
      </c>
      <c r="B14" s="18" t="inlineStr">
        <is>
          <t>19.0175.1867</t>
        </is>
      </c>
      <c r="C14" s="18" t="inlineStr">
        <is>
          <t>40P.36+40P.52</t>
        </is>
      </c>
    </row>
    <row r="15">
      <c r="A15" s="18" t="n">
        <v>14</v>
      </c>
      <c r="B15" s="18" t="inlineStr">
        <is>
          <t>19.0363.1872</t>
        </is>
      </c>
      <c r="C15" s="18" t="inlineStr">
        <is>
          <t>40P.42</t>
        </is>
      </c>
    </row>
    <row r="16">
      <c r="A16" s="18" t="n">
        <v>15</v>
      </c>
      <c r="B16" s="18" t="inlineStr">
        <is>
          <t>19.0364.1872</t>
        </is>
      </c>
      <c r="C16" s="18" t="inlineStr">
        <is>
          <t>40P.42</t>
        </is>
      </c>
    </row>
    <row r="17">
      <c r="A17" s="18" t="n">
        <v>16</v>
      </c>
      <c r="B17" s="18" t="inlineStr">
        <is>
          <t>19.0365.1872</t>
        </is>
      </c>
      <c r="C17" s="18" t="inlineStr">
        <is>
          <t>40P.42</t>
        </is>
      </c>
    </row>
    <row r="18">
      <c r="A18" s="18" t="n">
        <v>17</v>
      </c>
      <c r="B18" s="18" t="inlineStr">
        <is>
          <t>19.0373.1872</t>
        </is>
      </c>
      <c r="C18" s="18" t="inlineStr">
        <is>
          <t>40P.42</t>
        </is>
      </c>
    </row>
    <row r="19">
      <c r="A19" s="18" t="n">
        <v>18</v>
      </c>
      <c r="B19" s="18" t="inlineStr">
        <is>
          <t>19.0154.1849</t>
        </is>
      </c>
      <c r="C19" s="18" t="inlineStr">
        <is>
          <t>40P.44+40P.52</t>
        </is>
      </c>
    </row>
    <row r="20">
      <c r="A20" s="18" t="n">
        <v>19</v>
      </c>
      <c r="B20" s="18" t="inlineStr">
        <is>
          <t>19.0155.1847</t>
        </is>
      </c>
      <c r="C20" s="18" t="inlineStr">
        <is>
          <t>40P.44+40P.52</t>
        </is>
      </c>
    </row>
    <row r="21">
      <c r="A21" s="18" t="n">
        <v>20</v>
      </c>
      <c r="B21" s="18" t="inlineStr">
        <is>
          <t>19.0176.1860</t>
        </is>
      </c>
      <c r="C21" s="18" t="inlineStr">
        <is>
          <t>40P.44+40P.52</t>
        </is>
      </c>
    </row>
    <row r="22">
      <c r="A22" s="18" t="n">
        <v>21</v>
      </c>
      <c r="B22" s="18" t="inlineStr">
        <is>
          <t>19.0158.1841</t>
        </is>
      </c>
      <c r="C22" s="18" t="inlineStr">
        <is>
          <t>40P.45+40P.52</t>
        </is>
      </c>
    </row>
    <row r="23">
      <c r="A23" s="18" t="n">
        <v>22</v>
      </c>
      <c r="B23" s="18" t="inlineStr">
        <is>
          <t>19.0001.1830</t>
        </is>
      </c>
      <c r="C23" s="18" t="inlineStr">
        <is>
          <t>40P.52</t>
        </is>
      </c>
    </row>
    <row r="24">
      <c r="A24" s="18" t="n">
        <v>23</v>
      </c>
      <c r="B24" s="18" t="inlineStr">
        <is>
          <t>19.0106.1851</t>
        </is>
      </c>
      <c r="C24" s="18" t="inlineStr">
        <is>
          <t>40P.52</t>
        </is>
      </c>
    </row>
    <row r="25">
      <c r="A25" s="18" t="n">
        <v>24</v>
      </c>
      <c r="B25" s="18" t="inlineStr">
        <is>
          <t>19.0108.1851</t>
        </is>
      </c>
      <c r="C25" s="18" t="inlineStr">
        <is>
          <t>40P.52</t>
        </is>
      </c>
    </row>
    <row r="26">
      <c r="A26" s="18" t="n">
        <v>25</v>
      </c>
      <c r="B26" s="18" t="inlineStr">
        <is>
          <t>19.0126.1862</t>
        </is>
      </c>
      <c r="C26" s="18" t="inlineStr">
        <is>
          <t>40P.52</t>
        </is>
      </c>
    </row>
    <row r="27">
      <c r="A27" s="18" t="n">
        <v>26</v>
      </c>
      <c r="B27" s="18" t="inlineStr">
        <is>
          <t>19.0128.1863</t>
        </is>
      </c>
      <c r="C27" s="18" t="inlineStr">
        <is>
          <t>40P.52</t>
        </is>
      </c>
    </row>
    <row r="28">
      <c r="A28" s="18" t="n">
        <v>27</v>
      </c>
      <c r="B28" s="18" t="inlineStr">
        <is>
          <t>19.0173.1858</t>
        </is>
      </c>
      <c r="C28" s="18" t="inlineStr">
        <is>
          <t>40P.52</t>
        </is>
      </c>
    </row>
    <row r="29">
      <c r="A29" s="18" t="n">
        <v>28</v>
      </c>
      <c r="B29" s="18" t="inlineStr">
        <is>
          <t>19.0124.1861</t>
        </is>
      </c>
      <c r="C29" s="18" t="inlineStr">
        <is>
          <t>40P.52</t>
        </is>
      </c>
    </row>
    <row r="30">
      <c r="A30" s="18" t="n">
        <v>29</v>
      </c>
      <c r="B30" s="18" t="inlineStr">
        <is>
          <t>19.0065.1829</t>
        </is>
      </c>
      <c r="C30" s="18" t="inlineStr">
        <is>
          <t>40P.52</t>
        </is>
      </c>
    </row>
    <row r="31">
      <c r="A31" s="18" t="n">
        <v>30</v>
      </c>
      <c r="B31" s="18" t="inlineStr">
        <is>
          <t>19.0063.1829</t>
        </is>
      </c>
      <c r="C31" s="18" t="inlineStr">
        <is>
          <t>40P.52</t>
        </is>
      </c>
    </row>
    <row r="32">
      <c r="A32" s="18" t="n">
        <v>31</v>
      </c>
      <c r="B32" s="18" t="inlineStr">
        <is>
          <t>19.0044.1832</t>
        </is>
      </c>
      <c r="C32" s="18" t="inlineStr">
        <is>
          <t>40P.52</t>
        </is>
      </c>
    </row>
    <row r="33">
      <c r="A33" s="18" t="n">
        <v>32</v>
      </c>
      <c r="B33" s="18" t="inlineStr">
        <is>
          <t>19.0043.1832</t>
        </is>
      </c>
      <c r="C33" s="18" t="inlineStr">
        <is>
          <t>40P.52</t>
        </is>
      </c>
    </row>
    <row r="34">
      <c r="A34" s="18" t="n">
        <v>33</v>
      </c>
      <c r="B34" s="18" t="inlineStr">
        <is>
          <t>19.0084.1829</t>
        </is>
      </c>
      <c r="C34" s="18" t="inlineStr">
        <is>
          <t>40P.52</t>
        </is>
      </c>
    </row>
    <row r="35">
      <c r="A35" s="18" t="n">
        <v>34</v>
      </c>
      <c r="B35" s="18" t="inlineStr">
        <is>
          <t>19.0085.1829</t>
        </is>
      </c>
      <c r="C35" s="18" t="inlineStr">
        <is>
          <t>40P.52</t>
        </is>
      </c>
    </row>
    <row r="36">
      <c r="A36" s="18" t="n">
        <v>35</v>
      </c>
      <c r="B36" s="18" t="inlineStr">
        <is>
          <t>19.0026.1832</t>
        </is>
      </c>
      <c r="C36" s="18" t="inlineStr">
        <is>
          <t>40P.52</t>
        </is>
      </c>
    </row>
    <row r="37">
      <c r="A37" s="18" t="n">
        <v>36</v>
      </c>
      <c r="B37" s="18" t="inlineStr">
        <is>
          <t>19.0138.1845</t>
        </is>
      </c>
      <c r="C37" s="18" t="inlineStr">
        <is>
          <t>40P.52</t>
        </is>
      </c>
    </row>
    <row r="38">
      <c r="A38" s="18" t="n">
        <v>37</v>
      </c>
      <c r="B38" s="18" t="inlineStr">
        <is>
          <t>19.0027.1832</t>
        </is>
      </c>
      <c r="C38" s="18" t="inlineStr">
        <is>
          <t>40P.52</t>
        </is>
      </c>
    </row>
    <row r="39">
      <c r="A39" s="18" t="n">
        <v>38</v>
      </c>
      <c r="B39" s="18" t="inlineStr">
        <is>
          <t>19.0007.1832</t>
        </is>
      </c>
      <c r="C39" s="18" t="inlineStr">
        <is>
          <t>40P.52</t>
        </is>
      </c>
    </row>
    <row r="40">
      <c r="A40" s="18" t="n">
        <v>39</v>
      </c>
      <c r="B40" s="18" t="inlineStr">
        <is>
          <t>19.0016.1832</t>
        </is>
      </c>
      <c r="C40" s="18" t="inlineStr">
        <is>
          <t>40P.52</t>
        </is>
      </c>
    </row>
    <row r="41">
      <c r="A41" s="18" t="n">
        <v>40</v>
      </c>
      <c r="B41" s="18" t="inlineStr">
        <is>
          <t>19.0129.1845</t>
        </is>
      </c>
      <c r="C41" s="18" t="inlineStr">
        <is>
          <t>40P.52</t>
        </is>
      </c>
    </row>
    <row r="42">
      <c r="A42" s="18" t="n">
        <v>41</v>
      </c>
      <c r="B42" s="18" t="inlineStr">
        <is>
          <t>19.0130.1845</t>
        </is>
      </c>
      <c r="C42" s="18" t="inlineStr">
        <is>
          <t>40P.52</t>
        </is>
      </c>
    </row>
    <row r="43">
      <c r="A43" s="18" t="n">
        <v>42</v>
      </c>
      <c r="B43" s="18" t="inlineStr">
        <is>
          <t>19.0068.1829</t>
        </is>
      </c>
      <c r="C43" s="18" t="inlineStr">
        <is>
          <t>40P.52</t>
        </is>
      </c>
    </row>
    <row r="44">
      <c r="A44" s="18" t="n">
        <v>43</v>
      </c>
      <c r="B44" s="18" t="inlineStr">
        <is>
          <t>19.0070.1829</t>
        </is>
      </c>
      <c r="C44" s="18" t="inlineStr">
        <is>
          <t>40P.52</t>
        </is>
      </c>
    </row>
    <row r="45">
      <c r="A45" s="18" t="n">
        <v>44</v>
      </c>
      <c r="B45" s="18" t="inlineStr">
        <is>
          <t>19.0141.1865</t>
        </is>
      </c>
      <c r="C45" s="18" t="inlineStr">
        <is>
          <t>40P.52</t>
        </is>
      </c>
    </row>
    <row r="46">
      <c r="A46" s="18" t="n">
        <v>45</v>
      </c>
      <c r="B46" s="18" t="inlineStr">
        <is>
          <t>19.0150.1840</t>
        </is>
      </c>
      <c r="C46" s="18" t="inlineStr">
        <is>
          <t>40P.52</t>
        </is>
      </c>
    </row>
    <row r="47">
      <c r="A47" s="18" t="n">
        <v>46</v>
      </c>
      <c r="B47" s="18" t="inlineStr">
        <is>
          <t>19.0183.1855</t>
        </is>
      </c>
      <c r="C47" s="18" t="inlineStr">
        <is>
          <t>40P.52</t>
        </is>
      </c>
    </row>
    <row r="48">
      <c r="A48" s="18" t="n">
        <v>47</v>
      </c>
      <c r="B48" s="18" t="inlineStr">
        <is>
          <t>19.0058.1830</t>
        </is>
      </c>
      <c r="C48" s="18" t="inlineStr">
        <is>
          <t>40P.52</t>
        </is>
      </c>
    </row>
    <row r="49">
      <c r="A49" s="18" t="n">
        <v>48</v>
      </c>
      <c r="B49" s="18" t="inlineStr">
        <is>
          <t>19.0099.1829</t>
        </is>
      </c>
      <c r="C49" s="18" t="inlineStr">
        <is>
          <t>40P.52</t>
        </is>
      </c>
    </row>
    <row r="50">
      <c r="A50" s="18" t="n">
        <v>49</v>
      </c>
      <c r="B50" s="18" t="inlineStr">
        <is>
          <t>19.0188.1848</t>
        </is>
      </c>
      <c r="C50" s="18" t="inlineStr">
        <is>
          <t>40P.52</t>
        </is>
      </c>
    </row>
    <row r="51">
      <c r="A51" s="18" t="n">
        <v>50</v>
      </c>
      <c r="B51" s="18" t="inlineStr">
        <is>
          <t>19.0029.1832</t>
        </is>
      </c>
      <c r="C51" s="18" t="inlineStr">
        <is>
          <t>40P.52</t>
        </is>
      </c>
    </row>
    <row r="52">
      <c r="A52" s="18" t="n">
        <v>51</v>
      </c>
      <c r="B52" s="18" t="inlineStr">
        <is>
          <t>19.0075.1829</t>
        </is>
      </c>
      <c r="C52" s="18" t="inlineStr">
        <is>
          <t>40P.52</t>
        </is>
      </c>
    </row>
    <row r="53">
      <c r="A53" s="18" t="n">
        <v>52</v>
      </c>
      <c r="B53" s="18" t="inlineStr">
        <is>
          <t>19.0031.1832</t>
        </is>
      </c>
      <c r="C53" s="18" t="inlineStr">
        <is>
          <t>40P.52</t>
        </is>
      </c>
    </row>
    <row r="54">
      <c r="A54" s="18" t="n">
        <v>53</v>
      </c>
      <c r="B54" s="18" t="inlineStr">
        <is>
          <t>19.0030.1832</t>
        </is>
      </c>
      <c r="C54" s="18" t="inlineStr">
        <is>
          <t>40P.52</t>
        </is>
      </c>
    </row>
    <row r="55">
      <c r="A55" s="18" t="n">
        <v>54</v>
      </c>
      <c r="B55" s="18" t="inlineStr">
        <is>
          <t>19.0033.1832</t>
        </is>
      </c>
      <c r="C55" s="18" t="inlineStr">
        <is>
          <t>40P.52</t>
        </is>
      </c>
    </row>
    <row r="56">
      <c r="A56" s="18" t="n">
        <v>55</v>
      </c>
      <c r="B56" s="18" t="inlineStr">
        <is>
          <t>19.0139.1839</t>
        </is>
      </c>
      <c r="C56" s="18" t="inlineStr">
        <is>
          <t>40P.52</t>
        </is>
      </c>
    </row>
    <row r="57">
      <c r="A57" s="18" t="n">
        <v>56</v>
      </c>
      <c r="B57" s="18" t="inlineStr">
        <is>
          <t>19.0149.1842</t>
        </is>
      </c>
      <c r="C57" s="18" t="inlineStr">
        <is>
          <t>40P.52</t>
        </is>
      </c>
    </row>
    <row r="58">
      <c r="A58" s="18" t="n">
        <v>57</v>
      </c>
      <c r="B58" s="18" t="inlineStr">
        <is>
          <t>19.0042.1832</t>
        </is>
      </c>
      <c r="C58" s="18" t="inlineStr">
        <is>
          <t>40P.52</t>
        </is>
      </c>
    </row>
    <row r="59">
      <c r="A59" s="18" t="n">
        <v>58</v>
      </c>
      <c r="B59" s="18" t="inlineStr">
        <is>
          <t>19.0083.1829</t>
        </is>
      </c>
      <c r="C59" s="18" t="inlineStr">
        <is>
          <t>40P.52</t>
        </is>
      </c>
    </row>
    <row r="60">
      <c r="A60" s="18" t="n">
        <v>59</v>
      </c>
      <c r="B60" s="18" t="inlineStr">
        <is>
          <t>19.0143.1857</t>
        </is>
      </c>
      <c r="C60" s="18" t="inlineStr">
        <is>
          <t>40P.52</t>
        </is>
      </c>
    </row>
    <row r="61">
      <c r="A61" s="18" t="n">
        <v>60</v>
      </c>
      <c r="B61" s="18" t="inlineStr">
        <is>
          <t>19.0416.1847</t>
        </is>
      </c>
      <c r="C61" s="18" t="inlineStr">
        <is>
          <t>40P.52</t>
        </is>
      </c>
    </row>
    <row r="62">
      <c r="A62" s="18" t="n">
        <v>61</v>
      </c>
      <c r="B62" s="18" t="inlineStr">
        <is>
          <t>19.0417.1830</t>
        </is>
      </c>
      <c r="C62" s="18" t="inlineStr">
        <is>
          <t>40P.52</t>
        </is>
      </c>
    </row>
    <row r="63">
      <c r="A63" s="18" t="n">
        <v>62</v>
      </c>
      <c r="B63" s="18" t="inlineStr">
        <is>
          <t>19.0122.1856</t>
        </is>
      </c>
      <c r="C63" s="18" t="inlineStr">
        <is>
          <t>40P.52</t>
        </is>
      </c>
    </row>
    <row r="64">
      <c r="A64" s="18" t="n">
        <v>63</v>
      </c>
      <c r="B64" s="18" t="inlineStr">
        <is>
          <t>19.0003.1830</t>
        </is>
      </c>
      <c r="C64" s="18" t="inlineStr">
        <is>
          <t>40P.7+40P.52</t>
        </is>
      </c>
    </row>
    <row r="65">
      <c r="A65" s="18" t="n">
        <v>64</v>
      </c>
      <c r="B65" s="18" t="inlineStr">
        <is>
          <t>19.0111.1850</t>
        </is>
      </c>
      <c r="C65" s="18" t="inlineStr">
        <is>
          <t>40P.7+40P.52</t>
        </is>
      </c>
    </row>
    <row r="66">
      <c r="A66" s="18" t="n">
        <v>65</v>
      </c>
      <c r="B66" s="18" t="inlineStr">
        <is>
          <t>19.0146.1854</t>
        </is>
      </c>
      <c r="C66" s="18" t="inlineStr">
        <is>
          <t>40P.7+40P.52</t>
        </is>
      </c>
    </row>
    <row r="67">
      <c r="A67" s="18" t="n">
        <v>66</v>
      </c>
      <c r="B67" s="18" t="inlineStr">
        <is>
          <t>19.0147.1837</t>
        </is>
      </c>
      <c r="C67" s="18" t="inlineStr">
        <is>
          <t>40P.7+40P.52</t>
        </is>
      </c>
    </row>
    <row r="68">
      <c r="A68" s="18" t="n">
        <v>67</v>
      </c>
      <c r="B68" s="18" t="inlineStr">
        <is>
          <t>19.0148.1836</t>
        </is>
      </c>
      <c r="C68" s="18" t="inlineStr">
        <is>
          <t>40P.7+40P.52</t>
        </is>
      </c>
    </row>
    <row r="69">
      <c r="A69" s="18" t="n">
        <v>68</v>
      </c>
      <c r="B69" s="18" t="inlineStr">
        <is>
          <t>19.0163.1843</t>
        </is>
      </c>
      <c r="C69" s="18" t="inlineStr">
        <is>
          <t>40P.7+40P.52</t>
        </is>
      </c>
    </row>
    <row r="70">
      <c r="A70" s="18" t="n">
        <v>69</v>
      </c>
      <c r="B70" s="18" t="inlineStr">
        <is>
          <t>19.0162.1853</t>
        </is>
      </c>
      <c r="C70" s="18" t="inlineStr">
        <is>
          <t>40P.8+40P.52</t>
        </is>
      </c>
    </row>
    <row r="71">
      <c r="A71" s="18" t="n">
        <v>70</v>
      </c>
      <c r="B71" s="18" t="inlineStr">
        <is>
          <t>19.0156.1846</t>
        </is>
      </c>
      <c r="C71" s="18" t="inlineStr">
        <is>
          <t>40P.9+40P.52</t>
        </is>
      </c>
    </row>
    <row r="72">
      <c r="A72" s="18" t="n">
        <v>71</v>
      </c>
      <c r="B72" s="18" t="inlineStr">
        <is>
          <t>19.0366.1873</t>
        </is>
      </c>
      <c r="C72" s="18" t="inlineStr">
        <is>
          <t>40P.48</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D55"/>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2" customWidth="1" min="3" max="3"/>
    <col width="30" customWidth="1" min="4" max="4"/>
  </cols>
  <sheetData>
    <row r="1">
      <c r="A1" s="5" t="inlineStr">
        <is>
          <t>STT</t>
        </is>
      </c>
      <c r="B1" s="5" t="inlineStr">
        <is>
          <t>Mã khoa</t>
        </is>
      </c>
      <c r="C1" s="5" t="inlineStr">
        <is>
          <t>Mã CCHN bị gán</t>
        </is>
      </c>
      <c r="D1" s="5" t="inlineStr">
        <is>
          <t>Họ tên bị gán (XML7.TEN_BS)</t>
        </is>
      </c>
    </row>
    <row r="2">
      <c r="A2" s="18" t="n">
        <v>1</v>
      </c>
      <c r="B2" s="18" t="inlineStr">
        <is>
          <t>K01</t>
        </is>
      </c>
      <c r="C2" s="18" t="inlineStr">
        <is>
          <t>002108/BYT-CCHN</t>
        </is>
      </c>
      <c r="D2" s="18" t="inlineStr">
        <is>
          <t>NGUYỄN THỊ BÍCH NGỌC</t>
        </is>
      </c>
    </row>
    <row r="3">
      <c r="A3" s="18" t="n">
        <v>2</v>
      </c>
      <c r="B3" s="18" t="inlineStr">
        <is>
          <t>K01.1</t>
        </is>
      </c>
      <c r="C3" s="18" t="inlineStr">
        <is>
          <t>002108/BYT-CCHN</t>
        </is>
      </c>
      <c r="D3" s="18" t="inlineStr">
        <is>
          <t>NGUYỄN THỊ BÍCH NGỌC</t>
        </is>
      </c>
    </row>
    <row r="4">
      <c r="A4" s="18" t="n">
        <v>3</v>
      </c>
      <c r="B4" s="18" t="inlineStr">
        <is>
          <t>K01.2</t>
        </is>
      </c>
      <c r="C4" s="18" t="inlineStr">
        <is>
          <t>0010532/BYT-CCHN</t>
        </is>
      </c>
      <c r="D4" s="18" t="inlineStr">
        <is>
          <t>ĐÀO HÙNG HẠNH</t>
        </is>
      </c>
    </row>
    <row r="5">
      <c r="A5" s="18" t="n">
        <v>4</v>
      </c>
      <c r="B5" s="18" t="inlineStr">
        <is>
          <t>K02</t>
        </is>
      </c>
      <c r="C5" s="18" t="inlineStr">
        <is>
          <t>0010527/BYT-CCHN</t>
        </is>
      </c>
      <c r="D5" s="18" t="inlineStr">
        <is>
          <t>NGUYỄN ANH TUẤN</t>
        </is>
      </c>
    </row>
    <row r="6">
      <c r="A6" s="18" t="n">
        <v>5</v>
      </c>
      <c r="B6" s="18" t="inlineStr">
        <is>
          <t>K02.1</t>
        </is>
      </c>
      <c r="C6" s="18" t="inlineStr">
        <is>
          <t>0010527/BYT-CCHN</t>
        </is>
      </c>
      <c r="D6" s="18" t="inlineStr">
        <is>
          <t>NGUYỄN ANH TUẤN</t>
        </is>
      </c>
    </row>
    <row r="7">
      <c r="A7" s="18" t="n">
        <v>6</v>
      </c>
      <c r="B7" s="18" t="inlineStr">
        <is>
          <t>K02.2</t>
        </is>
      </c>
      <c r="C7" s="18" t="inlineStr">
        <is>
          <t>002176/BYT-CCHN</t>
        </is>
      </c>
      <c r="D7" s="18" t="inlineStr">
        <is>
          <t>MAI DUY TÔN</t>
        </is>
      </c>
    </row>
    <row r="8">
      <c r="A8" s="18" t="n">
        <v>7</v>
      </c>
      <c r="B8" s="18" t="inlineStr">
        <is>
          <t>K04</t>
        </is>
      </c>
      <c r="C8" s="18" t="inlineStr">
        <is>
          <t>0013955/BYT-CCHN</t>
        </is>
      </c>
      <c r="D8" s="18" t="inlineStr">
        <is>
          <t>PHẠM MẠNH HÙNG</t>
        </is>
      </c>
    </row>
    <row r="9">
      <c r="A9" s="18" t="n">
        <v>8</v>
      </c>
      <c r="B9" s="18" t="inlineStr">
        <is>
          <t>K04.1</t>
        </is>
      </c>
      <c r="C9" s="18" t="inlineStr">
        <is>
          <t>0013955/BYT-CCHN</t>
        </is>
      </c>
      <c r="D9" s="18" t="inlineStr">
        <is>
          <t>PHẠM MẠNH HÙNG</t>
        </is>
      </c>
    </row>
    <row r="10">
      <c r="A10" s="18" t="n">
        <v>9</v>
      </c>
      <c r="B10" s="18" t="inlineStr">
        <is>
          <t>K05</t>
        </is>
      </c>
      <c r="C10" s="18" t="inlineStr">
        <is>
          <t>0012675/BYT-CCHN</t>
        </is>
      </c>
      <c r="D10" s="18" t="inlineStr">
        <is>
          <t>NGUYỄN CÔNG LONG</t>
        </is>
      </c>
    </row>
    <row r="11">
      <c r="A11" s="18" t="n">
        <v>10</v>
      </c>
      <c r="B11" s="18" t="inlineStr">
        <is>
          <t>K06</t>
        </is>
      </c>
      <c r="C11" s="18" t="inlineStr">
        <is>
          <t>012890/BYT-CCHN</t>
        </is>
      </c>
      <c r="D11" s="18" t="inlineStr">
        <is>
          <t>NGUYỄN VĂN HÙNG</t>
        </is>
      </c>
    </row>
    <row r="12">
      <c r="A12" s="18" t="n">
        <v>11</v>
      </c>
      <c r="B12" s="18" t="inlineStr">
        <is>
          <t>K07</t>
        </is>
      </c>
      <c r="C12" s="18" t="inlineStr">
        <is>
          <t>0009381/BYT-CCHN</t>
        </is>
      </c>
      <c r="D12" s="18" t="inlineStr">
        <is>
          <t>NGHIÊM TRUNG DŨNG</t>
        </is>
      </c>
    </row>
    <row r="13">
      <c r="A13" s="18" t="n">
        <v>12</v>
      </c>
      <c r="B13" s="18" t="inlineStr">
        <is>
          <t>K08</t>
        </is>
      </c>
      <c r="C13" s="18" t="inlineStr">
        <is>
          <t>000606/BYT-CCHN</t>
        </is>
      </c>
      <c r="D13" s="18" t="inlineStr">
        <is>
          <t>NGUYỄN QUANG BẢY</t>
        </is>
      </c>
    </row>
    <row r="14">
      <c r="A14" s="18" t="n">
        <v>13</v>
      </c>
      <c r="B14" s="18" t="inlineStr">
        <is>
          <t>K09</t>
        </is>
      </c>
      <c r="C14" s="18" t="inlineStr">
        <is>
          <t>0014013/BYT-CCHN</t>
        </is>
      </c>
      <c r="D14" s="18" t="inlineStr">
        <is>
          <t>NGUYỄN HOÀNG PHƯƠNG</t>
        </is>
      </c>
    </row>
    <row r="15">
      <c r="A15" s="18" t="n">
        <v>14</v>
      </c>
      <c r="B15" s="18" t="inlineStr">
        <is>
          <t>K10</t>
        </is>
      </c>
      <c r="C15" s="18" t="inlineStr">
        <is>
          <t>032586/BYT-CCHN</t>
        </is>
      </c>
      <c r="D15" s="18" t="inlineStr">
        <is>
          <t>NGUYỄN TUẤN TÙNG</t>
        </is>
      </c>
    </row>
    <row r="16">
      <c r="A16" s="18" t="n">
        <v>15</v>
      </c>
      <c r="B16" s="18" t="inlineStr">
        <is>
          <t>K11</t>
        </is>
      </c>
      <c r="C16" s="18" t="inlineStr">
        <is>
          <t>0013992/BYT-CCHN</t>
        </is>
      </c>
      <c r="D16" s="18" t="inlineStr">
        <is>
          <t>ĐỖ DUY CƯỜNG</t>
        </is>
      </c>
    </row>
    <row r="17">
      <c r="A17" s="18" t="n">
        <v>16</v>
      </c>
      <c r="B17" s="18" t="inlineStr">
        <is>
          <t>K13</t>
        </is>
      </c>
      <c r="C17" s="18" t="inlineStr">
        <is>
          <t>032868/BYT-CCHN</t>
        </is>
      </c>
      <c r="D17" s="18" t="inlineStr">
        <is>
          <t>TRẦN THÁI SƠN</t>
        </is>
      </c>
    </row>
    <row r="18">
      <c r="A18" s="18" t="n">
        <v>17</v>
      </c>
      <c r="B18" s="18" t="inlineStr">
        <is>
          <t>K14</t>
        </is>
      </c>
      <c r="C18" s="18" t="inlineStr">
        <is>
          <t>0019244/BYT-CCHN</t>
        </is>
      </c>
      <c r="D18" s="18" t="inlineStr">
        <is>
          <t>VÕ HỒNG KHÔI</t>
        </is>
      </c>
    </row>
    <row r="19">
      <c r="A19" s="18" t="n">
        <v>18</v>
      </c>
      <c r="B19" s="18" t="inlineStr">
        <is>
          <t>K15</t>
        </is>
      </c>
      <c r="C19" s="18" t="inlineStr">
        <is>
          <t>0013649/BYT-CCHN</t>
        </is>
      </c>
      <c r="D19" s="18" t="inlineStr">
        <is>
          <t>NGUYỄN VĂN TUẤN</t>
        </is>
      </c>
    </row>
    <row r="20">
      <c r="A20" s="18" t="n">
        <v>19</v>
      </c>
      <c r="B20" s="18" t="inlineStr">
        <is>
          <t>K16</t>
        </is>
      </c>
      <c r="C20" s="18" t="inlineStr">
        <is>
          <t>0014074/BYT-CCHN</t>
        </is>
      </c>
      <c r="D20" s="18" t="inlineStr">
        <is>
          <t>NGUYỄN VĂN NHƯỜNG</t>
        </is>
      </c>
    </row>
    <row r="21">
      <c r="A21" s="18" t="n">
        <v>20</v>
      </c>
      <c r="B21" s="18" t="inlineStr">
        <is>
          <t>K18</t>
        </is>
      </c>
      <c r="C21" s="18" t="inlineStr">
        <is>
          <t>001083/BYT-CCHN</t>
        </is>
      </c>
      <c r="D21" s="18" t="inlineStr">
        <is>
          <t>NGUYỄN THÀNH NAM</t>
        </is>
      </c>
    </row>
    <row r="22">
      <c r="A22" s="18" t="n">
        <v>21</v>
      </c>
      <c r="B22" s="18" t="inlineStr">
        <is>
          <t>K19.2</t>
        </is>
      </c>
      <c r="C22" s="18" t="inlineStr">
        <is>
          <t>029029/BYT-CCHN</t>
        </is>
      </c>
      <c r="D22" s="18" t="inlineStr">
        <is>
          <t>PHẠM THỊ VIỆT DUNG</t>
        </is>
      </c>
    </row>
    <row r="23">
      <c r="A23" s="18" t="n">
        <v>22</v>
      </c>
      <c r="B23" s="18" t="inlineStr">
        <is>
          <t>K20</t>
        </is>
      </c>
      <c r="C23" s="18" t="inlineStr">
        <is>
          <t>0008803/BYT-CCHN</t>
        </is>
      </c>
      <c r="D23" s="18" t="inlineStr">
        <is>
          <t>NGUYỄN THẾ HÀO</t>
        </is>
      </c>
    </row>
    <row r="24">
      <c r="A24" s="18" t="n">
        <v>23</v>
      </c>
      <c r="B24" s="18" t="inlineStr">
        <is>
          <t>K21</t>
        </is>
      </c>
      <c r="C24" s="18" t="inlineStr">
        <is>
          <t>0008886/BYT-CCHN</t>
        </is>
      </c>
      <c r="D24" s="18" t="inlineStr">
        <is>
          <t>NGÔ GIA KHÁNH</t>
        </is>
      </c>
    </row>
    <row r="25">
      <c r="A25" s="18" t="n">
        <v>24</v>
      </c>
      <c r="B25" s="18" t="inlineStr">
        <is>
          <t>K22</t>
        </is>
      </c>
      <c r="C25" s="18" t="inlineStr">
        <is>
          <t>0006930/BYT-CCHN</t>
        </is>
      </c>
      <c r="D25" s="18" t="inlineStr">
        <is>
          <t>NGUYỄN NGỌC HÙNG</t>
        </is>
      </c>
    </row>
    <row r="26">
      <c r="A26" s="18" t="n">
        <v>25</v>
      </c>
      <c r="B26" s="18" t="inlineStr">
        <is>
          <t>K23</t>
        </is>
      </c>
      <c r="C26" s="18" t="inlineStr">
        <is>
          <t>0013925/BYT-CCHN</t>
        </is>
      </c>
      <c r="D26" s="18" t="inlineStr">
        <is>
          <t>NGUYỄN MINH TUẤN</t>
        </is>
      </c>
    </row>
    <row r="27">
      <c r="A27" s="18" t="n">
        <v>26</v>
      </c>
      <c r="B27" s="18" t="inlineStr">
        <is>
          <t>K24</t>
        </is>
      </c>
      <c r="C27" s="18" t="inlineStr">
        <is>
          <t>0009245/BYT-CCHN</t>
        </is>
      </c>
      <c r="D27" s="18" t="inlineStr">
        <is>
          <t>HOÀNG GIA DU</t>
        </is>
      </c>
    </row>
    <row r="28">
      <c r="A28" s="18" t="n">
        <v>27</v>
      </c>
      <c r="B28" s="18" t="inlineStr">
        <is>
          <t>K26</t>
        </is>
      </c>
      <c r="C28" s="18" t="inlineStr">
        <is>
          <t>0013993/BYT-CCHN</t>
        </is>
      </c>
      <c r="D28" s="18" t="inlineStr">
        <is>
          <t>NGUYỄN TOÀN THẮNG</t>
        </is>
      </c>
    </row>
    <row r="29">
      <c r="A29" s="18" t="n">
        <v>28</v>
      </c>
      <c r="B29" s="18" t="inlineStr">
        <is>
          <t>K27</t>
        </is>
      </c>
      <c r="C29" s="18" t="inlineStr">
        <is>
          <t>000563/BYT-CCHN</t>
        </is>
      </c>
      <c r="D29" s="18" t="inlineStr">
        <is>
          <t>VŨ CÔNG KHANH</t>
        </is>
      </c>
    </row>
    <row r="30">
      <c r="A30" s="18" t="n">
        <v>29</v>
      </c>
      <c r="B30" s="18" t="inlineStr">
        <is>
          <t>K28</t>
        </is>
      </c>
      <c r="C30" s="18" t="inlineStr">
        <is>
          <t>000365/BYT-CCHN</t>
        </is>
      </c>
      <c r="D30" s="18" t="inlineStr">
        <is>
          <t>LÊ CÔNG ĐỊNH</t>
        </is>
      </c>
    </row>
    <row r="31">
      <c r="A31" s="18" t="n">
        <v>30</v>
      </c>
      <c r="B31" s="18" t="inlineStr">
        <is>
          <t>K29</t>
        </is>
      </c>
      <c r="C31" s="18" t="inlineStr">
        <is>
          <t>0014556/BYT-CCHN</t>
        </is>
      </c>
      <c r="D31" s="18" t="inlineStr">
        <is>
          <t>HOÀNG NGỌC LAN</t>
        </is>
      </c>
    </row>
    <row r="32">
      <c r="A32" s="18" t="n">
        <v>31</v>
      </c>
      <c r="B32" s="18" t="inlineStr">
        <is>
          <t>K30</t>
        </is>
      </c>
      <c r="C32" s="18" t="inlineStr">
        <is>
          <t>0012655/BYT-CCHN</t>
        </is>
      </c>
      <c r="D32" s="18" t="inlineStr">
        <is>
          <t>LÊ VIỆT SƠN</t>
        </is>
      </c>
    </row>
    <row r="33">
      <c r="A33" s="18" t="n">
        <v>32</v>
      </c>
      <c r="B33" s="18" t="inlineStr">
        <is>
          <t>K31</t>
        </is>
      </c>
      <c r="C33" s="18" t="inlineStr">
        <is>
          <t>0012633/BYT-CCHN</t>
        </is>
      </c>
      <c r="D33" s="18" t="inlineStr">
        <is>
          <t>LƯƠNG TUẤN KHANH</t>
        </is>
      </c>
    </row>
    <row r="34">
      <c r="A34" s="18" t="n">
        <v>33</v>
      </c>
      <c r="B34" s="18" t="inlineStr">
        <is>
          <t>K32</t>
        </is>
      </c>
      <c r="C34" s="18" t="inlineStr">
        <is>
          <t>0019129/BYT-CCHN</t>
        </is>
      </c>
      <c r="D34" s="18" t="inlineStr">
        <is>
          <t>PHẠM CẨM PHƯƠNG</t>
        </is>
      </c>
    </row>
    <row r="35">
      <c r="A35" s="18" t="n">
        <v>34</v>
      </c>
      <c r="B35" s="18" t="inlineStr">
        <is>
          <t>K33</t>
        </is>
      </c>
      <c r="C35" s="18" t="inlineStr">
        <is>
          <t>0019129/BYT-CCHN</t>
        </is>
      </c>
      <c r="D35" s="18" t="inlineStr">
        <is>
          <t>PHẠM CẨM PHƯƠNG</t>
        </is>
      </c>
    </row>
    <row r="36">
      <c r="A36" s="18" t="n">
        <v>35</v>
      </c>
      <c r="B36" s="18" t="inlineStr">
        <is>
          <t>K33.1</t>
        </is>
      </c>
      <c r="C36" s="18" t="inlineStr">
        <is>
          <t>0019129/BYT-CCHN</t>
        </is>
      </c>
      <c r="D36" s="18" t="inlineStr">
        <is>
          <t>PHẠM CẨM PHƯƠNG</t>
        </is>
      </c>
    </row>
    <row r="37">
      <c r="A37" s="18" t="n">
        <v>36</v>
      </c>
      <c r="B37" s="18" t="inlineStr">
        <is>
          <t>K34</t>
        </is>
      </c>
      <c r="C37" s="18" t="inlineStr">
        <is>
          <t>032586/BYT-CCHN</t>
        </is>
      </c>
      <c r="D37" s="18" t="inlineStr">
        <is>
          <t>NGUYỄN TUẤN TÙNG</t>
        </is>
      </c>
    </row>
    <row r="38">
      <c r="A38" s="18" t="n">
        <v>37</v>
      </c>
      <c r="B38" s="18" t="inlineStr">
        <is>
          <t>K35</t>
        </is>
      </c>
      <c r="C38" s="18" t="inlineStr">
        <is>
          <t>0009381/BYT-CCHN</t>
        </is>
      </c>
      <c r="D38" s="18" t="inlineStr">
        <is>
          <t>NGHIÊM TRUNG DŨNG</t>
        </is>
      </c>
    </row>
    <row r="39">
      <c r="A39" s="18" t="n">
        <v>38</v>
      </c>
      <c r="B39" s="18" t="inlineStr">
        <is>
          <t>K36</t>
        </is>
      </c>
      <c r="C39" s="18" t="inlineStr">
        <is>
          <t>032586/BYT-CCHN</t>
        </is>
      </c>
      <c r="D39" s="18" t="inlineStr">
        <is>
          <t>NGUYỄN TUẤN TÙNG</t>
        </is>
      </c>
    </row>
    <row r="40">
      <c r="A40" s="18" t="n">
        <v>39</v>
      </c>
      <c r="B40" s="18" t="inlineStr">
        <is>
          <t>K37</t>
        </is>
      </c>
      <c r="C40" s="18" t="inlineStr">
        <is>
          <t>005114/BYT-CCHN</t>
        </is>
      </c>
      <c r="D40" s="18" t="inlineStr">
        <is>
          <t>ĐÀO HUYỀN QUYÊN</t>
        </is>
      </c>
    </row>
    <row r="41">
      <c r="A41" s="18" t="n">
        <v>40</v>
      </c>
      <c r="B41" s="18" t="inlineStr">
        <is>
          <t>K38</t>
        </is>
      </c>
      <c r="C41" s="18" t="inlineStr">
        <is>
          <t>0019098/BYT-CCHN</t>
        </is>
      </c>
      <c r="D41" s="18" t="inlineStr">
        <is>
          <t>TRƯƠNG THÁI PHƯƠNG</t>
        </is>
      </c>
    </row>
    <row r="42">
      <c r="A42" s="18" t="n">
        <v>41</v>
      </c>
      <c r="B42" s="18" t="inlineStr">
        <is>
          <t>K39</t>
        </is>
      </c>
      <c r="C42" s="18" t="inlineStr">
        <is>
          <t>0012645/BYT-CCHN</t>
        </is>
      </c>
      <c r="D42" s="18" t="inlineStr">
        <is>
          <t>VŨ ĐĂNG LƯU</t>
        </is>
      </c>
    </row>
    <row r="43">
      <c r="A43" s="18" t="n">
        <v>42</v>
      </c>
      <c r="B43" s="18" t="inlineStr">
        <is>
          <t>K42</t>
        </is>
      </c>
      <c r="C43" s="18" t="inlineStr">
        <is>
          <t>0010431/BYT-CCHN</t>
        </is>
      </c>
      <c r="D43" s="18" t="inlineStr">
        <is>
          <t>PHẠM VĂN TUYẾN</t>
        </is>
      </c>
    </row>
    <row r="44">
      <c r="A44" s="18" t="n">
        <v>43</v>
      </c>
      <c r="B44" s="18" t="inlineStr">
        <is>
          <t>K42.1</t>
        </is>
      </c>
      <c r="C44" s="18" t="inlineStr">
        <is>
          <t>0010431/BYT-CCHN</t>
        </is>
      </c>
      <c r="D44" s="18" t="inlineStr">
        <is>
          <t>PHẠM VĂN TUYẾN</t>
        </is>
      </c>
    </row>
    <row r="45">
      <c r="A45" s="18" t="n">
        <v>44</v>
      </c>
      <c r="B45" s="18" t="inlineStr">
        <is>
          <t>K45</t>
        </is>
      </c>
      <c r="C45" s="18" t="inlineStr">
        <is>
          <t>0006263/BYT-CCHN</t>
        </is>
      </c>
      <c r="D45" s="18" t="inlineStr">
        <is>
          <t>NGHIÊM NGUYỆT THU</t>
        </is>
      </c>
    </row>
    <row r="46">
      <c r="A46" s="18" t="n">
        <v>45</v>
      </c>
      <c r="B46" s="18" t="inlineStr">
        <is>
          <t>K48</t>
        </is>
      </c>
      <c r="C46" s="18" t="inlineStr">
        <is>
          <t>002220/BYT-CCHN</t>
        </is>
      </c>
      <c r="D46" s="18" t="inlineStr">
        <is>
          <t>ĐỖ NGỌC SƠN</t>
        </is>
      </c>
    </row>
    <row r="47">
      <c r="A47" s="18" t="n">
        <v>46</v>
      </c>
      <c r="B47" s="18" t="inlineStr">
        <is>
          <t>K49</t>
        </is>
      </c>
      <c r="C47" s="18" t="inlineStr">
        <is>
          <t>000198/BYT-CCHN</t>
        </is>
      </c>
      <c r="D47" s="18" t="inlineStr">
        <is>
          <t>NGUYỄN TRUNG NGUYÊN</t>
        </is>
      </c>
    </row>
    <row r="48">
      <c r="A48" s="18" t="n">
        <v>47</v>
      </c>
      <c r="B48" s="18" t="inlineStr">
        <is>
          <t>K50</t>
        </is>
      </c>
      <c r="C48" s="18" t="inlineStr">
        <is>
          <t>004429/BYT-CCHN</t>
        </is>
      </c>
      <c r="D48" s="18" t="inlineStr">
        <is>
          <t>PHAN THU PHƯƠNG</t>
        </is>
      </c>
    </row>
    <row r="49">
      <c r="A49" s="18" t="n">
        <v>48</v>
      </c>
      <c r="B49" s="18" t="inlineStr">
        <is>
          <t>K0735</t>
        </is>
      </c>
      <c r="C49" s="18" t="inlineStr">
        <is>
          <t>0009381/BYT-CCHN</t>
        </is>
      </c>
      <c r="D49" s="18" t="inlineStr">
        <is>
          <t>NGHIÊM TRUNG DŨNG</t>
        </is>
      </c>
    </row>
    <row r="50">
      <c r="A50" s="18" t="n">
        <v>49</v>
      </c>
      <c r="B50" s="18" t="inlineStr">
        <is>
          <t>K103436</t>
        </is>
      </c>
      <c r="C50" s="18" t="inlineStr">
        <is>
          <t>032586/BYT-CCHN</t>
        </is>
      </c>
      <c r="D50" s="18" t="inlineStr">
        <is>
          <t>NGUYỄN TUẤN TÙNG</t>
        </is>
      </c>
    </row>
    <row r="51">
      <c r="A51" s="18" t="n">
        <v>50</v>
      </c>
      <c r="B51" s="18" t="inlineStr">
        <is>
          <t>K3233</t>
        </is>
      </c>
      <c r="C51" s="18" t="inlineStr">
        <is>
          <t>0019129/BYT-CCHN</t>
        </is>
      </c>
      <c r="D51" s="18" t="inlineStr">
        <is>
          <t>PHẠM CẨM PHƯƠNG</t>
        </is>
      </c>
    </row>
    <row r="52">
      <c r="A52" s="18" t="n">
        <v>51</v>
      </c>
      <c r="B52" s="18" t="inlineStr">
        <is>
          <t>K51</t>
        </is>
      </c>
      <c r="C52" s="18" t="inlineStr">
        <is>
          <t>002176/BYT-CCHN</t>
        </is>
      </c>
      <c r="D52" s="18" t="inlineStr">
        <is>
          <t>MAI DUY TÔN</t>
        </is>
      </c>
    </row>
    <row r="53">
      <c r="A53" s="18" t="n">
        <v>52</v>
      </c>
      <c r="B53" s="18" t="inlineStr">
        <is>
          <t>K52</t>
        </is>
      </c>
      <c r="C53" s="18" t="inlineStr">
        <is>
          <t>029029/BYT-CCHN</t>
        </is>
      </c>
      <c r="D53" s="18" t="inlineStr">
        <is>
          <t>PHẠM THỊ VIỆT DUNG</t>
        </is>
      </c>
    </row>
    <row r="55">
      <c r="B55" s="22" t="inlineStr">
        <is>
          <t>Dùng khi MA_BAC_SI (XML2, XML3), MA_BS_DOC_KQ (XML4), NGUOI_THUC_HIEN (XML5), MA_BS (XML7, XML11) rỗng; và cho MA_TTDV (XML7, 8, 9, 13, 14) tại cơ sở chính.</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2026-10-12T04:52:27Z</dcterms:created>
  <dcterms:modified xsi:type="dcterms:W3CDTF">2026-10-12T04:52:28Z</dcterms:modified>
</cp:coreProperties>
</file>