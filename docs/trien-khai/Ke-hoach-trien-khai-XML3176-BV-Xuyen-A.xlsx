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BV chuan bi" sheetId="2" state="visible" r:id="rId4"/>
    <sheet name="Danh muc" sheetId="3" state="visible" r:id="rId5"/>
    <sheet name="Cau hinh" sheetId="4" state="visible" r:id="rId6"/>
    <sheet name="Trien khai 3 ngay" sheetId="5" state="visible" r:id="rId7"/>
    <sheet name="Chay thu 1 thang" sheetId="6" state="visible" r:id="rId8"/>
    <sheet name="Danh gia" sheetId="7" state="visible" r:id="rId9"/>
    <sheet name="Rui r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KH</author>
  </authors>
  <commentList>
    <comment ref="B11" authorId="0">
      <text>
        <r>
          <rPr>
            <sz val="10"/>
            <rFont val="Arial"/>
            <family val="2"/>
          </rPr>
          <t xml:space="preserve">Ví dụ. Thay bằng ngày thực tế Công ty nhận đủ thông tin BV chuyển giao.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KH</author>
  </authors>
  <commentList>
    <comment ref="D24" authorId="0">
      <text>
        <r>
          <rPr>
            <sz val="10"/>
            <rFont val="Arial"/>
            <family val="2"/>
          </rPr>
          <t xml:space="preserve">Đề xuất: ≥ 60% chỉ số tham khảo đạt. Chốt cùng lãnh đạo BV.</t>
        </r>
      </text>
    </comment>
  </commentList>
</comments>
</file>

<file path=xl/sharedStrings.xml><?xml version="1.0" encoding="utf-8"?>
<sst xmlns="http://schemas.openxmlformats.org/spreadsheetml/2006/main" count="789" uniqueCount="477">
  <si>
    <t xml:space="preserve">KẾ HOẠCH TRIỂN KHAI TIỀN GIÁM ĐỊNH HỒ SƠ XML 3176 — BỆNH VIỆN XUYÊN Á</t>
  </si>
  <si>
    <t xml:space="preserve">Căn cứ: Tài liệu tổng hợp XML3176 &amp; Order-Check (mục 5, 9, 10), Quy trình vận hành XML 3176, deck Giới thiệu Tiền giám định. Phạm vi: module XML 3176 (nạp – kiểm lỗi – tra thẻ – ký số; gửi cổng TẮT trong thời gian chạy thử).</t>
  </si>
  <si>
    <t xml:space="preserve">CÁCH DÙNG BẢNG</t>
  </si>
  <si>
    <t xml:space="preserve">• Ô nền vàng chữ xanh = ô cần nhập. Mọi ngày tháng trong các sheet tự tính từ ô "Ngày N" bên dưới.</t>
  </si>
  <si>
    <t xml:space="preserve">• Ngày N = ngày Công ty nhận ĐỦ thông tin BV chuyển giao (đủ mọi dòng "Bắt buộc" ở sheet BV chuan bi ở trạng thái Xong).</t>
  </si>
  <si>
    <t xml:space="preserve">• Cột Trạng thái chọn: Chưa làm / Đang làm / Xong / Vướng. Bảng tiến độ bên dưới tự đếm.</t>
  </si>
  <si>
    <t xml:space="preserve">• Ngày làm việc tính bằng WORKDAY (bỏ thứ Bảy, Chủ nhật; chưa trừ ngày lễ — nếu trùng lễ, dời Ngày N).</t>
  </si>
  <si>
    <t xml:space="preserve">Ngày N (nhận đủ thông tin)</t>
  </si>
  <si>
    <t xml:space="preserve">← ví dụ, thay bằng ngày thực tế</t>
  </si>
  <si>
    <t xml:space="preserve">Giai đoạn</t>
  </si>
  <si>
    <t xml:space="preserve">Bắt đầu</t>
  </si>
  <si>
    <t xml:space="preserve">Kết thúc</t>
  </si>
  <si>
    <t xml:space="preserve">Số ngày</t>
  </si>
  <si>
    <t xml:space="preserve">Kết quả đầu ra</t>
  </si>
  <si>
    <t xml:space="preserve">0. BV chuẩn bị (điều kiện tiên quyết)</t>
  </si>
  <si>
    <t xml:space="preserve">Trước Ngày N</t>
  </si>
  <si>
    <t xml:space="preserve">Máy chủ, mạng, tài khoản cổng BHXH, ký số, danh mục, nhân sự sẵn sàng — xem sheet BV chuan bi</t>
  </si>
  <si>
    <t xml:space="preserve">1. Ngày 1 — Cài đặt hạ tầng</t>
  </si>
  <si>
    <t xml:space="preserve">Phần mềm chạy trên máy chủ BV; đủ dịch vụ hàng đợi; kết nối cổng BHXH, ký số thử thành công</t>
  </si>
  <si>
    <t xml:space="preserve">2. Ngày 2 — Danh mục &amp; cấu hình</t>
  </si>
  <si>
    <t xml:space="preserve">Đủ 13 bộ danh mục; cấu hình cơ sở KCB; danh mục mã lỗi đã duyệt mức; chạy lô hồ sơ mẫu</t>
  </si>
  <si>
    <t xml:space="preserve">3. Ngày 3 — Đào tạo &amp; đưa vào chạy thử</t>
  </si>
  <si>
    <t xml:space="preserve">Người dùng được đào tạo; quy trình vận hành ban hành; biên bản bắt đầu chạy thử</t>
  </si>
  <si>
    <t xml:space="preserve">4. Chạy thử 1 tháng (song song quy trình cũ)</t>
  </si>
  <si>
    <t xml:space="preserve">Số liệu 4 tuần; danh mục và mức lỗi đã hiệu chỉnh; báo cáo tuần</t>
  </si>
  <si>
    <t xml:space="preserve">5. Đánh giá &amp; quyết định</t>
  </si>
  <si>
    <t xml:space="preserve">Bảng đánh giá (sheet Danh gia) + biên bản: Đạt → bật gửi cổng/nhân rộng; Chưa đạt → kéo dài, khắc phục</t>
  </si>
  <si>
    <t xml:space="preserve">TIẾN ĐỘ (tự đếm theo cột Trạng thái)</t>
  </si>
  <si>
    <t xml:space="preserve">Sheet</t>
  </si>
  <si>
    <t xml:space="preserve">Tổng việc</t>
  </si>
  <si>
    <t xml:space="preserve">Xong</t>
  </si>
  <si>
    <t xml:space="preserve">Vướng</t>
  </si>
  <si>
    <t xml:space="preserve">% hoàn thành</t>
  </si>
  <si>
    <t xml:space="preserve">BV chuan bi</t>
  </si>
  <si>
    <t xml:space="preserve">Danh muc</t>
  </si>
  <si>
    <t xml:space="preserve">Cau hinh</t>
  </si>
  <si>
    <t xml:space="preserve">Trien khai 3 ngay</t>
  </si>
  <si>
    <t xml:space="preserve">Chay thu 1 thang</t>
  </si>
  <si>
    <t xml:space="preserve">Kết luận đánh giá (từ sheet Danh gia)</t>
  </si>
  <si>
    <t xml:space="preserve">DANH MỤC BỆNH VIỆN CẦN CHUẨN BỊ TRƯỚC NGÀY N</t>
  </si>
  <si>
    <t xml:space="preserve">Đủ các dòng "Bắt buộc" thì mới tính Ngày N. Thông tin bí mật (mật khẩu cổng, mã PIN token) KHÔNG ghi vào tệp này — bàn giao trực tiếp cho cán bộ cài đặt.</t>
  </si>
  <si>
    <t xml:space="preserve">STT</t>
  </si>
  <si>
    <t xml:space="preserve">Nhóm</t>
  </si>
  <si>
    <t xml:space="preserve">Hạng mục</t>
  </si>
  <si>
    <t xml:space="preserve">Yêu cầu chi tiết</t>
  </si>
  <si>
    <t xml:space="preserve">BV phụ trách</t>
  </si>
  <si>
    <t xml:space="preserve">Bắt buộc</t>
  </si>
  <si>
    <t xml:space="preserve">Hạn</t>
  </si>
  <si>
    <t xml:space="preserve">Trạng thái</t>
  </si>
  <si>
    <t xml:space="preserve">Ghi chú / căn cứ</t>
  </si>
  <si>
    <t xml:space="preserve">A. MÁY CHỦ</t>
  </si>
  <si>
    <t xml:space="preserve">Máy Chủ</t>
  </si>
  <si>
    <t xml:space="preserve">Máy chủ ứng dụng</t>
  </si>
  <si>
    <t xml:space="preserve">Windows Server 2016 trở lên (khuyến nghị — các dịch vụ chạy nền cài bằng nssm). Tối thiểu 4 vCPU / 8 GB RAM / SSD 200 GB; khuyến nghị 8 vCPU / 16 GB RAM / SSD 500 GB cho BV hạng I.</t>
  </si>
  <si>
    <t xml:space="preserve">CNTT</t>
  </si>
  <si>
    <t xml:space="preserve">Có</t>
  </si>
  <si>
    <t xml:space="preserve">Chưa làm</t>
  </si>
  <si>
    <t xml:space="preserve">Giả định cấu hình theo khối lượng hồ sơ BV hạng I; một lần xuất danh sách lỗi ngày lớn cần ~2,5 GB RAM (Quy trình vận hành, Phụ lục B).</t>
  </si>
  <si>
    <t xml:space="preserve">Phần mềm nền</t>
  </si>
  <si>
    <t xml:space="preserve">PHP 7.4 (memory_limit ≥ 512M, max_execution_time ≥ 600), MySQL 8.0, Redis 6, IIS/Nginx/Apache; quyền quản trị (Administrator) để cài dịch vụ.</t>
  </si>
  <si>
    <t xml:space="preserve">config/xml3176.php: import_time_limit 600 s, import_memory_limit 512M. Kinh nghiệm: PHP 128MB/120s làm hỏng nạp và xuất.</t>
  </si>
  <si>
    <t xml:space="preserve">Truy cập từ xa</t>
  </si>
  <si>
    <t xml:space="preserve">Tài khoản Remote Desktop/VPN cho Công ty trong 3 ngày triển khai và 1 tháng chạy thử.</t>
  </si>
  <si>
    <t xml:space="preserve">Sao lưu</t>
  </si>
  <si>
    <t xml:space="preserve">Lịch sao lưu CSDL qlbv hằng ngày; nơi lưu bản sao lưu ngoài máy chủ.</t>
  </si>
  <si>
    <t xml:space="preserve">Không</t>
  </si>
  <si>
    <t xml:space="preserve">B. MẠNG &amp; KẾT NỐI</t>
  </si>
  <si>
    <t xml:space="preserve">Mạng &amp; Kết Nối</t>
  </si>
  <si>
    <t xml:space="preserve">Truy cập nội bộ</t>
  </si>
  <si>
    <t xml:space="preserve">Địa chỉ IP/tên miền nội bộ cho máy chủ; người dùng các khoa, phòng truy cập được bằng trình duyệt.</t>
  </si>
  <si>
    <t xml:space="preserve">Ra Internet tới cổng BHXH</t>
  </si>
  <si>
    <t xml:space="preserve">Máy chủ gọi được HTTPS (443) tới Cổng giám định BHXH (lấy token, tra thẻ, gửi hồ sơ).</t>
  </si>
  <si>
    <t xml:space="preserve">Kết nối ra ngoài duy nhất là cổng BHXH (deck giới thiệu, slide An toàn).</t>
  </si>
  <si>
    <t xml:space="preserve">Thư mục nhận XML từ HIS</t>
  </si>
  <si>
    <t xml:space="preserve">Thư mục chia sẻ mà HIS xuất tệp XML 3176 vào (ví dụ D:\XML\3176); máy chủ có quyền đọc + xoá tệp sau khi nạp.</t>
  </si>
  <si>
    <t xml:space="preserve">CNTT + Nhà cung cấp HIS</t>
  </si>
  <si>
    <t xml:space="preserve">Lệnh xml3176import:day quét thư mục, nạp xong xoá tệp gốc; tệp hỏng chuyển vào thư mục con "loi".</t>
  </si>
  <si>
    <t xml:space="preserve">Thư mục xuất XML đã ký</t>
  </si>
  <si>
    <t xml:space="preserve">Thư mục lưu XML đã xuất/ký (ví dụ D:\XML\ExportXml3176).</t>
  </si>
  <si>
    <t xml:space="preserve">Máy chủ mail (SMTP)</t>
  </si>
  <si>
    <t xml:space="preserve">Tài khoản SMTP để gửi email báo lỗi hằng ngày.</t>
  </si>
  <si>
    <t xml:space="preserve">Bảng email_receive_report.</t>
  </si>
  <si>
    <t xml:space="preserve">C. HIS &amp; DỮ LIỆU</t>
  </si>
  <si>
    <t xml:space="preserve">His &amp; Dữ Liệu</t>
  </si>
  <si>
    <t xml:space="preserve">HIS xuất XML 3176</t>
  </si>
  <si>
    <t xml:space="preserve">HIS xuất được đủ XML1–XML15 theo QĐ 3176 cho hồ sơ BHYT; xác nhận thời điểm xuất (khi ra viện / khi duyệt khoá viện phí).</t>
  </si>
  <si>
    <t xml:space="preserve">Nhà cung cấp HIS</t>
  </si>
  <si>
    <t xml:space="preserve">Module XML3176 dùng được với mọi HIS vì chỉ nhận tệp chuẩn.</t>
  </si>
  <si>
    <t xml:space="preserve">Bộ hồ sơ mẫu</t>
  </si>
  <si>
    <t xml:space="preserve">Tệp XML của ít nhất 1 ngày ra viện (ngoại trú + nội trú) và kết quả giám định cổng của các hồ sơ đó để đối chiếu.</t>
  </si>
  <si>
    <t xml:space="preserve">P. BHYT / Giám định</t>
  </si>
  <si>
    <t xml:space="preserve">Dùng ở Ngày 2 và làm số liệu nền.</t>
  </si>
  <si>
    <t xml:space="preserve">Số liệu nền (baseline)</t>
  </si>
  <si>
    <t xml:space="preserve">Số hồ sơ gửi cổng/tháng, số hồ sơ bị cổng trả về, số tiền xuất toán của 3 tháng gần nhất.</t>
  </si>
  <si>
    <t xml:space="preserve">Để so sánh khi đánh giá.</t>
  </si>
  <si>
    <t xml:space="preserve">Tài khoản đọc CSDL HIS</t>
  </si>
  <si>
    <t xml:space="preserve">Chỉ cần nếu sau này triển khai Kiểm sai sót y lệnh; không bắt buộc cho XML 3176.</t>
  </si>
  <si>
    <t xml:space="preserve">Ngoài phạm vi đợt này.</t>
  </si>
  <si>
    <t xml:space="preserve">D. CỔNG BHXH &amp; KÝ SỐ</t>
  </si>
  <si>
    <t xml:space="preserve">Cổng Bhxh &amp; Ký Số</t>
  </si>
  <si>
    <t xml:space="preserve">Mã cơ sở KCB</t>
  </si>
  <si>
    <t xml:space="preserve">Mã CSKCB của BV và các cơ sở trực thuộc (nếu có). Mã tỉnh tự lấy từ 2 ký tự đầu.</t>
  </si>
  <si>
    <t xml:space="preserve">P. BHYT</t>
  </si>
  <si>
    <t xml:space="preserve">config organization.BHYT_CO_SO — mỗi cơ sở một tài khoản.</t>
  </si>
  <si>
    <t xml:space="preserve">Tài khoản cổng giám định</t>
  </si>
  <si>
    <t xml:space="preserve">Tên đăng nhập + mật khẩu cổng cho từng cơ sở; họ tên và CCCD cán bộ tra cứu thẻ.</t>
  </si>
  <si>
    <t xml:space="preserve">Bàn giao trực tiếp, không ghi vào tệp.</t>
  </si>
  <si>
    <t xml:space="preserve">Danh sách mã ĐKBĐ đúng tuyến</t>
  </si>
  <si>
    <t xml:space="preserve">Mã nơi đăng ký KCB ban đầu được coi là đúng tuyến.</t>
  </si>
  <si>
    <t xml:space="preserve">organization.correct_facility_code.</t>
  </si>
  <si>
    <t xml:space="preserve">Chứng thư số</t>
  </si>
  <si>
    <t xml:space="preserve">USB Token cắm cố định vào máy chủ (kèm driver, mã PIN) hoặc thông tin kết nối HSM.</t>
  </si>
  <si>
    <t xml:space="preserve">CNTT + Lãnh đạo</t>
  </si>
  <si>
    <t xml:space="preserve">Rút token = mọi hồ sơ dừng ở bước ký.</t>
  </si>
  <si>
    <t xml:space="preserve">E. NHÂN SỰ &amp; TỔ CHỨC</t>
  </si>
  <si>
    <t xml:space="preserve">Nhân Sự &amp; Tổ Chức</t>
  </si>
  <si>
    <t xml:space="preserve">Quyết định tổ triển khai</t>
  </si>
  <si>
    <t xml:space="preserve">Lãnh đạo bảo trợ; đầu mối KHTH/P. BHYT (chủ trì); 1 người phụ trách danh mục BHYT; 1 cán bộ CNTT.</t>
  </si>
  <si>
    <t xml:space="preserve">Ban Giám đốc</t>
  </si>
  <si>
    <t xml:space="preserve">Tài liệu tổng hợp mục 7; deck giới thiệu slide Đề xuất.</t>
  </si>
  <si>
    <t xml:space="preserve">Danh sách người dùng</t>
  </si>
  <si>
    <t xml:space="preserve">Họ tên, khoa/phòng, vai trò, email của người được cấp tài khoản (P. BHYT, KHTH, TCKT, CNTT, đầu mối khoa).</t>
  </si>
  <si>
    <t xml:space="preserve">Quyền màn hình XML 3176: role xml-man.</t>
  </si>
  <si>
    <t xml:space="preserve">Lịch đào tạo Ngày 3</t>
  </si>
  <si>
    <t xml:space="preserve">Phòng họp có máy chiếu + máy tính truy cập phần mềm; triệu tập học viên theo 4 nhóm.</t>
  </si>
  <si>
    <t xml:space="preserve">KHTH</t>
  </si>
  <si>
    <t xml:space="preserve">Chủ sở hữu danh mục mã lỗi</t>
  </si>
  <si>
    <t xml:space="preserve">Chỉ định người duyệt mức Nghiêm trọng/Cảnh báo của từng mã lỗi.</t>
  </si>
  <si>
    <t xml:space="preserve">Tài liệu tổng hợp mục 8.</t>
  </si>
  <si>
    <t xml:space="preserve">Danh mục khoa phòng</t>
  </si>
  <si>
    <t xml:space="preserve">Danh sách mã khoa trên HIS, khoa không kiểm giường/không đối chiếu thuốc (nếu có).</t>
  </si>
  <si>
    <t xml:space="preserve">organization.exclude_department, xml3176.drug_exclude_department.</t>
  </si>
  <si>
    <t xml:space="preserve">Số mục Bắt buộc chưa Xong:</t>
  </si>
  <si>
    <t xml:space="preserve">Đủ điều kiện tính Ngày N?</t>
  </si>
  <si>
    <t xml:space="preserve">DANH MỤC BHYT CẦN NẠP (13 bộ — config/danh_muc_bhyt.php)</t>
  </si>
  <si>
    <t xml:space="preserve">Danh mục thiếu hoặc sai ngày hiệu lực sinh lỗi giả hàng loạt (đã đo: 3 danh mục rỗng → ~36.100 vi phạm giả). Tệp tải thẳng từ cổng BHXH có tiêu đề ở dòng 5, không nhập trực tiếp được — phải chuyển về biểu mẫu nhập của phần mềm.</t>
  </si>
  <si>
    <t xml:space="preserve">Danh mục</t>
  </si>
  <si>
    <t xml:space="preserve">Theo cơ sở KCB</t>
  </si>
  <si>
    <t xml:space="preserve">Nguồn</t>
  </si>
  <si>
    <t xml:space="preserve">Kiểm tra sau khi nạp</t>
  </si>
  <si>
    <t xml:space="preserve">BV cung cấp</t>
  </si>
  <si>
    <t xml:space="preserve">Công ty nạp</t>
  </si>
  <si>
    <t xml:space="preserve">Ghi chú</t>
  </si>
  <si>
    <t xml:space="preserve">DM thuốc BHYT</t>
  </si>
  <si>
    <t xml:space="preserve">Danh mục thuốc BV đã được BHXH duyệt (cổng giám định) — gồm số đăng ký, hàm lượng, giá, thông tin thầu</t>
  </si>
  <si>
    <t xml:space="preserve">Số dòng khớp cổng; còn hiệu lực; mã thuốc trong hồ sơ mẫu đều tra ra</t>
  </si>
  <si>
    <t xml:space="preserve">Hàm lượng/thầu sai là nguyên nhân lớn nhất của báo nhầm "sai thầu".</t>
  </si>
  <si>
    <t xml:space="preserve">DM Vật tư y tế</t>
  </si>
  <si>
    <t xml:space="preserve">Danh mục VTYT đã duyệt trên cổng</t>
  </si>
  <si>
    <t xml:space="preserve">Số dòng; hiệu lực; mã VTYT trong hồ sơ mẫu tra ra</t>
  </si>
  <si>
    <t xml:space="preserve">DM Dịch vụ kỹ thuật</t>
  </si>
  <si>
    <t xml:space="preserve">Danh mục DVKT đã duyệt trên cổng (kể cả mã có hậu tố _GT/_BS)</t>
  </si>
  <si>
    <t xml:space="preserve">Số dòng; giá; hiệu lực; mã DVKT trong hồ sơ mẫu tra ra</t>
  </si>
  <si>
    <t xml:space="preserve">Mã có hậu tố tra nguyên văn rồi mới tra mã gốc.</t>
  </si>
  <si>
    <t xml:space="preserve">DM ICD-10</t>
  </si>
  <si>
    <t xml:space="preserve">Bộ Y tế / cổng BHXH</t>
  </si>
  <si>
    <t xml:space="preserve">Số dòng</t>
  </si>
  <si>
    <t xml:space="preserve">DM ICD-YHCT</t>
  </si>
  <si>
    <t xml:space="preserve">Cần nếu BV có khoa YHCT.</t>
  </si>
  <si>
    <t xml:space="preserve">DM Nhân viên y tế</t>
  </si>
  <si>
    <t xml:space="preserve">Danh sách NVYT đã khai trên cổng (mã BHXH người hành nghề, CCHN, phạm vi)</t>
  </si>
  <si>
    <t xml:space="preserve">NVYT trong hồ sơ mẫu đều có; CCHN còn hiệu lực</t>
  </si>
  <si>
    <t xml:space="preserve">Thiếu NVYT sinh lỗi XMLComplete_NVYT_*.</t>
  </si>
  <si>
    <t xml:space="preserve">DM Khoa Phòng Giường</t>
  </si>
  <si>
    <t xml:space="preserve">Danh mục khoa/phòng/giường đã khai trên cổng</t>
  </si>
  <si>
    <t xml:space="preserve">Mã khoa, mã giường trong hồ sơ mẫu tra ra</t>
  </si>
  <si>
    <t xml:space="preserve">DM Trang thiết bị</t>
  </si>
  <si>
    <t xml:space="preserve">Danh mục trang thiết bị (mã máy) đã khai trên cổng</t>
  </si>
  <si>
    <t xml:space="preserve">DM Đơn vị hành chính</t>
  </si>
  <si>
    <t xml:space="preserve">Danh mục hành chính bản ký số (danhmuchanhchinh.nso.gov.vn)</t>
  </si>
  <si>
    <t xml:space="preserve">Số dòng; mã xã trong hồ sơ mẫu tra ra</t>
  </si>
  <si>
    <t xml:space="preserve">Không dùng bản PDF dự thảo — lệch ~120 mã.</t>
  </si>
  <si>
    <t xml:space="preserve">DM Cơ sở KCB</t>
  </si>
  <si>
    <t xml:space="preserve">Danh mục cơ sở KCB toàn quốc</t>
  </si>
  <si>
    <t xml:space="preserve">Mã nơi ĐKBĐ, nơi chuyển đi/đến trong hồ sơ mẫu tra ra</t>
  </si>
  <si>
    <t xml:space="preserve">DM Nghề nghiệp</t>
  </si>
  <si>
    <t xml:space="preserve">Danh mục nghề nghiệp theo QĐ 3176</t>
  </si>
  <si>
    <t xml:space="preserve">DM DVKT cần mã máy</t>
  </si>
  <si>
    <t xml:space="preserve">Danh sách DVKT bắt buộc kèm mã máy</t>
  </si>
  <si>
    <t xml:space="preserve">DM bệnh PL1 TT01 cấp chuyên sâu</t>
  </si>
  <si>
    <t xml:space="preserve">Phụ lục 1 Thông tư 01 — bệnh cấp chuyên sâu</t>
  </si>
  <si>
    <t xml:space="preserve">Danh mục mã lỗi XML 3176</t>
  </si>
  <si>
    <t xml:space="preserve">Phần mềm tự sinh khi chạy hồ sơ; mã mới chưa có trong danh mục mặc định là Nghiêm trọng. Ngày 2: P. BHYT cùng Công ty duyệt mức Nghiêm trọng/Cảnh báo cho từng mã.</t>
  </si>
  <si>
    <t xml:space="preserve">CẤU HÌNH CẦN THIẾT LẬP</t>
  </si>
  <si>
    <t xml:space="preserve">Giá trị đề xuất cho giai đoạn chạy thử. Cột "Giá trị BV" ghi giá trị thực tế khi cài (trừ mật khẩu). Sau mỗi lần sửa cấu hình: php artisan config:cache rồi queue:restart.</t>
  </si>
  <si>
    <t xml:space="preserve">Khoá cấu hình / thành phần</t>
  </si>
  <si>
    <t xml:space="preserve">Ý nghĩa</t>
  </si>
  <si>
    <t xml:space="preserve">Đề xuất khi chạy thử</t>
  </si>
  <si>
    <t xml:space="preserve">Giá trị BV (ghi khi cài)</t>
  </si>
  <si>
    <t xml:space="preserve">Đơn vị</t>
  </si>
  <si>
    <t xml:space="preserve">organization.organization_name / organization_logo</t>
  </si>
  <si>
    <t xml:space="preserve">Tên, logo hiển thị trên phần mềm và phiếu in</t>
  </si>
  <si>
    <t xml:space="preserve">Bệnh viện Nguyễn Thị Thập</t>
  </si>
  <si>
    <t xml:space="preserve">organization.BHYT_CO_SO[mã CSKCB]</t>
  </si>
  <si>
    <t xml:space="preserve">Tài khoản cổng theo từng cơ sở (username, password, ho_ten_cb, cccd_cb); chưa khai thì tra thẻ báo lỗi, không dùng tài khoản khác</t>
  </si>
  <si>
    <t xml:space="preserve">Khai đủ mọi cơ sở</t>
  </si>
  <si>
    <t xml:space="preserve">organization.correct_facility_code</t>
  </si>
  <si>
    <t xml:space="preserve">Danh sách mã nơi ĐKBĐ đúng tuyến</t>
  </si>
  <si>
    <t xml:space="preserve">Theo P. BHYT</t>
  </si>
  <si>
    <t xml:space="preserve">organization.exclude_department</t>
  </si>
  <si>
    <t xml:space="preserve">Mã khoa không kiểm chỉ định giường (XML3)</t>
  </si>
  <si>
    <t xml:space="preserve">Theo KHTH (mặc định rỗng)</t>
  </si>
  <si>
    <t xml:space="preserve">xml3176.drug_exclude_department</t>
  </si>
  <si>
    <t xml:space="preserve">Mã khoa không đối chiếu danh mục thuốc</t>
  </si>
  <si>
    <t xml:space="preserve">Rỗng</t>
  </si>
  <si>
    <t xml:space="preserve">Kiểm lỗi</t>
  </si>
  <si>
    <t xml:space="preserve">organization.xml_3176_not_check</t>
  </si>
  <si>
    <t xml:space="preserve">true = bỏ kiểm tra chéo toàn hồ sơ</t>
  </si>
  <si>
    <t xml:space="preserve">false</t>
  </si>
  <si>
    <t xml:space="preserve">organization.export_xml_not_check</t>
  </si>
  <si>
    <t xml:space="preserve">true = vẫn xuất/ký hồ sơ còn lỗi Nghiêm trọng</t>
  </si>
  <si>
    <t xml:space="preserve">Danh mục mã lỗi XML 3176 (is_check, critical_error)</t>
  </si>
  <si>
    <t xml:space="preserve">Bật/tắt từng mã lỗi; đặt mức Nghiêm trọng/Cảnh báo</t>
  </si>
  <si>
    <t xml:space="preserve">Duyệt Ngày 2; chỉ P. BHYT đổi, ghi lý do</t>
  </si>
  <si>
    <t xml:space="preserve">Thẻ BHYT</t>
  </si>
  <si>
    <t xml:space="preserve">organization.BHYT.enableCheck</t>
  </si>
  <si>
    <t xml:space="preserve">Tra thẻ BHYT online khi nạp XML1</t>
  </si>
  <si>
    <t xml:space="preserve">true</t>
  </si>
  <si>
    <t xml:space="preserve">Xuất/ký/gửi</t>
  </si>
  <si>
    <t xml:space="preserve">xml3176.export_xml3176_enabled</t>
  </si>
  <si>
    <t xml:space="preserve">Tự xuất XML cho hồ sơ hết lỗi Nghiêm trọng</t>
  </si>
  <si>
    <t xml:space="preserve">Ký số (USB Token / HSM)</t>
  </si>
  <si>
    <t xml:space="preserve">Chứng thư dùng ký XML trước khi gửi</t>
  </si>
  <si>
    <t xml:space="preserve">Bật, ký thử ở Ngày 1</t>
  </si>
  <si>
    <t xml:space="preserve">organization.BHYT.submit_xml_3176_enabled</t>
  </si>
  <si>
    <t xml:space="preserve">Tự gửi hồ sơ lên cổng BHXH</t>
  </si>
  <si>
    <t xml:space="preserve">false — TẮT suốt thời gian chạy thử; chỉ bật khi đánh giá Đạt</t>
  </si>
  <si>
    <t xml:space="preserve">Thư mục</t>
  </si>
  <si>
    <t xml:space="preserve">Đường dẫn nạp (config/filesystems.php)</t>
  </si>
  <si>
    <t xml:space="preserve">Thư mục HIS xuất XML 3176</t>
  </si>
  <si>
    <t xml:space="preserve">Theo sheet BV chuan bi mục B</t>
  </si>
  <si>
    <t xml:space="preserve">Đường dẫn xuất (ExportXml3176)</t>
  </si>
  <si>
    <t xml:space="preserve">Thư mục lưu XML đã ký</t>
  </si>
  <si>
    <t xml:space="preserve">Dịch vụ nền</t>
  </si>
  <si>
    <t xml:space="preserve">QLBV XMLImport3176 (xml3176import:day)</t>
  </si>
  <si>
    <t xml:space="preserve">Quét thư mục, nạp hồ sơ tự động</t>
  </si>
  <si>
    <t xml:space="preserve">Chạy thường trực</t>
  </si>
  <si>
    <t xml:space="preserve">QLBV JobXml3176</t>
  </si>
  <si>
    <t xml:space="preserve">Hàng đợi kiểm lỗi</t>
  </si>
  <si>
    <t xml:space="preserve">QLBV JobKtTheBHYT</t>
  </si>
  <si>
    <t xml:space="preserve">Hàng đợi tra thẻ BHYT</t>
  </si>
  <si>
    <t xml:space="preserve">QLBV JobExportXml3176</t>
  </si>
  <si>
    <t xml:space="preserve">Hàng đợi xuất XML</t>
  </si>
  <si>
    <t xml:space="preserve">QLBV JobSignXml3176</t>
  </si>
  <si>
    <t xml:space="preserve">Hàng đợi ký số</t>
  </si>
  <si>
    <t xml:space="preserve">Chạy thường trực; dừng thì hồ sơ kẹt ở bước ký</t>
  </si>
  <si>
    <t xml:space="preserve">QLBV JobSubmitXml3176</t>
  </si>
  <si>
    <t xml:space="preserve">Hàng đợi gửi cổng</t>
  </si>
  <si>
    <t xml:space="preserve">Cài sẵn; không có việc khi gửi đang tắt</t>
  </si>
  <si>
    <t xml:space="preserve">QLBV JobXuatTepXml3176 (kết nối xuat_tep)</t>
  </si>
  <si>
    <t xml:space="preserve">Xuất danh sách lỗi ra Excel chạy nền</t>
  </si>
  <si>
    <t xml:space="preserve">Phân quyền</t>
  </si>
  <si>
    <t xml:space="preserve">Role xml-man, superadministrator</t>
  </si>
  <si>
    <t xml:space="preserve">Quyền màn hình XML 3176 / quản trị danh mục</t>
  </si>
  <si>
    <t xml:space="preserve">Theo danh sách người dùng</t>
  </si>
  <si>
    <t xml:space="preserve">Thông báo</t>
  </si>
  <si>
    <t xml:space="preserve">Bảng email_receive_report</t>
  </si>
  <si>
    <t xml:space="preserve">Người nhận email lỗi thẻ BHYT + lỗi XML 3176 hằng ngày</t>
  </si>
  <si>
    <t xml:space="preserve">Lãnh đạo KHTH, P. BHYT, CNTT</t>
  </si>
  <si>
    <t xml:space="preserve">KẾ HOẠCH TRIỂN KHAI 3 NGÀY (tính từ Ngày N)</t>
  </si>
  <si>
    <t xml:space="preserve">Ngày tự tính theo ô Ngày N ở sheet Tong quan.</t>
  </si>
  <si>
    <t xml:space="preserve">Ngày</t>
  </si>
  <si>
    <t xml:space="preserve">Buổi</t>
  </si>
  <si>
    <t xml:space="preserve">Công việc</t>
  </si>
  <si>
    <t xml:space="preserve">Công ty</t>
  </si>
  <si>
    <t xml:space="preserve">BV phối hợp</t>
  </si>
  <si>
    <t xml:space="preserve">Kết quả / tiêu chí xong</t>
  </si>
  <si>
    <t xml:space="preserve">NGÀY 1 — CÀI ĐẶT HẠ TẦNG</t>
  </si>
  <si>
    <t xml:space="preserve">Sáng</t>
  </si>
  <si>
    <t xml:space="preserve">Họp khởi động: thống nhất phạm vi, lịch, đầu mối; rà lại sheet BV chuan bi</t>
  </si>
  <si>
    <t xml:space="preserve">Trưởng nhóm TK</t>
  </si>
  <si>
    <t xml:space="preserve">Tổ triển khai BV</t>
  </si>
  <si>
    <t xml:space="preserve">Biên bản khởi động</t>
  </si>
  <si>
    <t xml:space="preserve">Kiểm tra máy chủ (CPU/RAM/ổ đĩa), cài PHP/MySQL/Redis/web server, cấu hình php.ini</t>
  </si>
  <si>
    <t xml:space="preserve">Kỹ sư</t>
  </si>
  <si>
    <t xml:space="preserve">php -v, mysql, redis chạy; memory_limit ≥ 512M</t>
  </si>
  <si>
    <t xml:space="preserve">Triển khai mã nguồn, tạo .env, php artisan migrate, tạo tài khoản quản trị</t>
  </si>
  <si>
    <t xml:space="preserve">Đăng nhập được giao diện web</t>
  </si>
  <si>
    <t xml:space="preserve">Chiều</t>
  </si>
  <si>
    <t xml:space="preserve">Cài các dịch vụ nền (install_service.bat / nssm), đặt tự khởi động</t>
  </si>
  <si>
    <t xml:space="preserve">Đủ 7 dịch vụ XML 3176 ở trạng thái Running</t>
  </si>
  <si>
    <t xml:space="preserve">Nối thư mục HIS xuất XML; thả 1 tệp thử, kiểm tra nạp và xoá tệp gốc</t>
  </si>
  <si>
    <t xml:space="preserve">CNTT + NCC HIS</t>
  </si>
  <si>
    <t xml:space="preserve">Hồ sơ hiện ở Danh sách hồ sơ</t>
  </si>
  <si>
    <t xml:space="preserve">Khai tài khoản cổng theo cơ sở; lấy token, tra thử 5 thẻ BHYT</t>
  </si>
  <si>
    <t xml:space="preserve">Tra thẻ trả kết quả, không lỗi đăng nhập</t>
  </si>
  <si>
    <t xml:space="preserve">Cài driver USB Token/HSM; ký thử 1 tệp XML</t>
  </si>
  <si>
    <t xml:space="preserve">Cột "Ký XML" = Đã ký số</t>
  </si>
  <si>
    <t xml:space="preserve">Truy cập từ máy trạm các khoa, phòng; cấu hình sao lưu</t>
  </si>
  <si>
    <t xml:space="preserve">Mở được phần mềm từ ≥ 3 máy trạm</t>
  </si>
  <si>
    <t xml:space="preserve">NGÀY 2 — DANH MỤC &amp; CẤU HÌNH</t>
  </si>
  <si>
    <t xml:space="preserve">Nạp 13 bộ danh mục (sheet Danh muc); đối chiếu số dòng với cổng</t>
  </si>
  <si>
    <t xml:space="preserve">Người phụ trách DM</t>
  </si>
  <si>
    <t xml:space="preserve">Đủ 13 bộ, số dòng khớp</t>
  </si>
  <si>
    <t xml:space="preserve">Nhập cấu hình đơn vị, khoa loại trừ, mã ĐKBĐ đúng tuyến (sheet Cau hinh)</t>
  </si>
  <si>
    <t xml:space="preserve">P. BHYT, KHTH</t>
  </si>
  <si>
    <t xml:space="preserve">config:cache; queue:restart</t>
  </si>
  <si>
    <t xml:space="preserve">Tạo tài khoản người dùng, phân quyền; khai người nhận email báo lỗi</t>
  </si>
  <si>
    <t xml:space="preserve">Người dùng đăng nhập được</t>
  </si>
  <si>
    <t xml:space="preserve">Nạp bộ hồ sơ mẫu (1 ngày ra viện); chờ hàng đợi về 0</t>
  </si>
  <si>
    <t xml:space="preserve">Mọi hồ sơ mẫu có kết quả kiểm</t>
  </si>
  <si>
    <t xml:space="preserve">Rà kết quả kiểm cùng P. BHYT: phân loại lỗi thật / báo nhầm do danh mục, cấu hình</t>
  </si>
  <si>
    <t xml:space="preserve">Danh sách báo nhầm + hướng xử lý</t>
  </si>
  <si>
    <t xml:space="preserve">Duyệt mức Nghiêm trọng/Cảnh báo cho danh mục mã lỗi; sửa danh mục, nạp lại hồ sơ mẫu</t>
  </si>
  <si>
    <t xml:space="preserve">Chủ sở hữu DM mã lỗi</t>
  </si>
  <si>
    <t xml:space="preserve">Biên bản duyệt mức lỗi</t>
  </si>
  <si>
    <t xml:space="preserve">Đối chiếu hồ sơ mẫu với kết quả giám định thực tế của cổng → số liệu nền</t>
  </si>
  <si>
    <t xml:space="preserve">Bảng đối chiếu ban đầu</t>
  </si>
  <si>
    <t xml:space="preserve">NGÀY 3 — ĐÀO TẠO &amp; ĐƯA VÀO CHẠY THỬ</t>
  </si>
  <si>
    <t xml:space="preserve">Giới thiệu cho lãnh đạo BV, lãnh đạo KHTH (deck giới thiệu, ~15–30 phút): mục tiêu, cách đánh giá</t>
  </si>
  <si>
    <t xml:space="preserve">Ban Giám đốc, KHTH</t>
  </si>
  <si>
    <t xml:space="preserve">Lãnh đạo thống nhất tiêu chí đánh giá</t>
  </si>
  <si>
    <t xml:space="preserve">Đào tạo sâu P. BHYT / Giám định: danh sách hồ sơ, tab lỗi, danh mục mã lỗi, dashboard, kết quả tra thẻ, xuất Excel</t>
  </si>
  <si>
    <t xml:space="preserve">Chuyên viên ĐT</t>
  </si>
  <si>
    <t xml:space="preserve">Học viên tự lọc, giao được lỗi</t>
  </si>
  <si>
    <t xml:space="preserve">Đào tạo TCKT: tra cứu tiền cùng chi trả, đối chiếu chi phí</t>
  </si>
  <si>
    <t xml:space="preserve">P. TCKT</t>
  </si>
  <si>
    <t xml:space="preserve">Đào tạo đầu mối các khoa lâm sàng: tra lỗi theo mã điều trị (quét mã vạch), in phiếu lỗi, sửa trên HIS rồi nạp lại</t>
  </si>
  <si>
    <t xml:space="preserve">Đầu mối khoa</t>
  </si>
  <si>
    <t xml:space="preserve">Mỗi khoa ≥ 1 người dùng được</t>
  </si>
  <si>
    <t xml:space="preserve">Đào tạo CNTT vận hành: dịch vụ nền, hàng đợi, ký số, xử lý sự cố, lệnh chạy lại</t>
  </si>
  <si>
    <t xml:space="preserve">CNTT tự khởi động lại dịch vụ</t>
  </si>
  <si>
    <t xml:space="preserve">Ban hành Quy trình vận hành XML 3176 (SOP, SLA sửa lỗi 2 ngày làm việc), lịch họp tuần</t>
  </si>
  <si>
    <t xml:space="preserve">Lãnh đạo KHTH</t>
  </si>
  <si>
    <t xml:space="preserve">Văn bản ban hành</t>
  </si>
  <si>
    <t xml:space="preserve">Bật nạp tự động toàn viện; ký biên bản bắt đầu chạy thử (gửi cổng vẫn TẮT)</t>
  </si>
  <si>
    <t xml:space="preserve">Biên bản bắt đầu chạy thử</t>
  </si>
  <si>
    <t xml:space="preserve">CHẠY THỬ 1 THÁNG — SONG SONG QUY TRÌNH CŨ</t>
  </si>
  <si>
    <t xml:space="preserve">Hồ sơ vẫn gửi cổng bằng đường hiện tại; Tiền giám định kiểm trước để BV sửa và để đo. Không bật tự gửi cổng trong giai đoạn này.</t>
  </si>
  <si>
    <t xml:space="preserve">Tuần</t>
  </si>
  <si>
    <t xml:space="preserve">Từ ngày</t>
  </si>
  <si>
    <t xml:space="preserve">Đến ngày</t>
  </si>
  <si>
    <t xml:space="preserve">Phụ trách</t>
  </si>
  <si>
    <t xml:space="preserve">Đầu ra</t>
  </si>
  <si>
    <t xml:space="preserve">Tuần 1</t>
  </si>
  <si>
    <t xml:space="preserve">Theo dõi hằng ngày: hàng đợi, dịch vụ nền, email báo lỗi; xử lý sự cố trong ngày</t>
  </si>
  <si>
    <t xml:space="preserve">CNTT + Công ty</t>
  </si>
  <si>
    <t xml:space="preserve">Nhật ký sự cố</t>
  </si>
  <si>
    <t xml:space="preserve">Hiệu chỉnh báo nhầm phát sinh (danh mục, cấu hình, quy tắc) — không tắt mã lỗi để "cho qua"</t>
  </si>
  <si>
    <t xml:space="preserve">Công ty + P. BHYT</t>
  </si>
  <si>
    <t xml:space="preserve">Danh sách báo nhầm đã xử lý</t>
  </si>
  <si>
    <t xml:space="preserve">Hỗ trợ tại chỗ/từ xa người dùng; ghi câu hỏi thường gặp</t>
  </si>
  <si>
    <t xml:space="preserve">Sổ hỗ trợ</t>
  </si>
  <si>
    <t xml:space="preserve">Đo độ phủ: số hồ sơ HIS xuất / số hồ sơ đã nạp</t>
  </si>
  <si>
    <t xml:space="preserve">Báo cáo tuần 1</t>
  </si>
  <si>
    <t xml:space="preserve">Tuần 2</t>
  </si>
  <si>
    <t xml:space="preserve">Áp dụng SOP: P. BHYT giao lỗi Nghiêm trọng cho khoa hằng sáng; khoa sửa trên HIS, nạp lại (SLA 2 ngày làm việc)</t>
  </si>
  <si>
    <t xml:space="preserve">P. BHYT + khoa</t>
  </si>
  <si>
    <t xml:space="preserve">Hồ sơ lỗi được xử lý</t>
  </si>
  <si>
    <t xml:space="preserve">Họp tuần theo Pareto mã lỗi trên Dashboard; đào tạo lại khoa nhiều lỗi</t>
  </si>
  <si>
    <t xml:space="preserve">KHTH + P. BHYT</t>
  </si>
  <si>
    <t xml:space="preserve">Biên bản họp tuần</t>
  </si>
  <si>
    <t xml:space="preserve">Rà lại mức Nghiêm trọng/Cảnh báo theo số liệu thật</t>
  </si>
  <si>
    <t xml:space="preserve">Nhật ký thay đổi mức lỗi</t>
  </si>
  <si>
    <t xml:space="preserve">Tuần 3</t>
  </si>
  <si>
    <t xml:space="preserve">Đối chiếu kết quả cổng BHXH trả về (hồ sơ gửi bằng đường cũ) với lỗi Tiền giám định đã báo trước</t>
  </si>
  <si>
    <t xml:space="preserve">P. BHYT + Công ty</t>
  </si>
  <si>
    <t xml:space="preserve">Tỷ lệ phát hiện trước</t>
  </si>
  <si>
    <t xml:space="preserve">Ghi các lỗi cổng trả về mà phần mềm chưa bắt → đề xuất quy tắc mới</t>
  </si>
  <si>
    <t xml:space="preserve">P. BHYT → Công ty</t>
  </si>
  <si>
    <t xml:space="preserve">Danh sách đề xuất quy tắc</t>
  </si>
  <si>
    <t xml:space="preserve">Kiểm thử chuỗi xuất → ký số với khối lượng thật (không gửi)</t>
  </si>
  <si>
    <t xml:space="preserve">Tỷ lệ ký thành công</t>
  </si>
  <si>
    <t xml:space="preserve">Tuần 4</t>
  </si>
  <si>
    <t xml:space="preserve">Tổng hợp số liệu các chỉ số ở sheet Danh gia</t>
  </si>
  <si>
    <t xml:space="preserve">Số liệu điền vào sheet Danh gia</t>
  </si>
  <si>
    <t xml:space="preserve">Khảo sát người dùng (P. BHYT, đầu mối khoa, CNTT)</t>
  </si>
  <si>
    <t xml:space="preserve">Kết quả khảo sát</t>
  </si>
  <si>
    <t xml:space="preserve">Lập báo cáo chạy thử: kết quả, tồn tại, đề xuất (bật gửi cổng / nhân rộng / kéo dài)</t>
  </si>
  <si>
    <t xml:space="preserve">Báo cáo chạy thử</t>
  </si>
  <si>
    <t xml:space="preserve">Việc hằng ngày trong suốt chạy thử (theo Quy trình vận hành mục 7):</t>
  </si>
  <si>
    <t xml:space="preserve">• Sáng — khoa: xử lý lỗi được giao; quét mã vạch tra lỗi hồ sơ trước khi cho ra viện.</t>
  </si>
  <si>
    <t xml:space="preserve">• Sáng — P. BHYT: xem hồ sơ có lỗi Nghiêm trọng của các ngày ra viện gần nhất, giao khoa; xem Kết quả tra cứu thẻ (lọc "Chỉ lỗi"), Tra lại thẻ đã sửa.</t>
  </si>
  <si>
    <t xml:space="preserve">• Hằng ngày — CNTT: kiểm hàng đợi, bộ quét thư mục, ký số; đọc email báo lỗi.</t>
  </si>
  <si>
    <t xml:space="preserve">• Hằng tuần — P. BHYT: đối chiếu số hồ sơ lên cổng với số hồ sơ đã qua Tiền giám định để phát hiện hồ sơ gửi vòng qua.</t>
  </si>
  <si>
    <t xml:space="preserve">ĐÁNH GIÁ KẾT QUẢ CHẠY THỬ — CÓ ĐẠT YÊU CẦU KHÔNG?</t>
  </si>
  <si>
    <t xml:space="preserve">Điền cột "Giá trị đo" (ô vàng) cuối tuần 4. Phần trăm nhập dạng số thập phân hoặc có dấu % (95% = 0,95). Ngưỡng là đề xuất của Công ty — chốt cùng lãnh đạo BV ở buổi sáng Ngày 3, sửa trực tiếp ô ngưỡng nếu thống nhất khác.</t>
  </si>
  <si>
    <t xml:space="preserve">Chỉ số</t>
  </si>
  <si>
    <t xml:space="preserve">Cách đo</t>
  </si>
  <si>
    <t xml:space="preserve">So sánh</t>
  </si>
  <si>
    <t xml:space="preserve">Ngưỡng đạt</t>
  </si>
  <si>
    <t xml:space="preserve">Giá trị đo</t>
  </si>
  <si>
    <t xml:space="preserve">Kết quả</t>
  </si>
  <si>
    <t xml:space="preserve">Căn cứ ngưỡng</t>
  </si>
  <si>
    <t xml:space="preserve">Độ phủ</t>
  </si>
  <si>
    <t xml:space="preserve">Hồ sơ BHYT đã qua Tiền giám định</t>
  </si>
  <si>
    <t xml:space="preserve">Số hồ sơ đã nạp / số hồ sơ BHYT HIS xuất trong kỳ</t>
  </si>
  <si>
    <t xml:space="preserve">&gt;=</t>
  </si>
  <si>
    <t xml:space="preserve">Quy trình vận hành mục 8: mục tiêu 100%.</t>
  </si>
  <si>
    <t xml:space="preserve">Hệ thống</t>
  </si>
  <si>
    <t xml:space="preserve">Ngày vận hành không gián đoạn</t>
  </si>
  <si>
    <t xml:space="preserve">Số ngày không có sự cố dừng nạp/kiểm quá 2 giờ / số ngày chạy thử</t>
  </si>
  <si>
    <t xml:space="preserve">Đề xuất của Công ty.</t>
  </si>
  <si>
    <t xml:space="preserve">Thời gian có kết quả kiểm</t>
  </si>
  <si>
    <t xml:space="preserve">Thời gian từ khi nạp tới khi hồ sơ có kết quả kiểm (phút, trung vị ngày thường)</t>
  </si>
  <si>
    <t xml:space="preserve">&lt;=</t>
  </si>
  <si>
    <t xml:space="preserve">Đề xuất của Công ty; đo bằng created_at hồ sơ và lỗi.</t>
  </si>
  <si>
    <t xml:space="preserve">Tra thẻ BHYT thành công</t>
  </si>
  <si>
    <t xml:space="preserve">Lượt tra có phản hồi từ cổng / tổng lượt tra</t>
  </si>
  <si>
    <t xml:space="preserve">Đề xuất; phụ thuộc cả cổng BHXH.</t>
  </si>
  <si>
    <t xml:space="preserve">Ký số thành công</t>
  </si>
  <si>
    <t xml:space="preserve">Hồ sơ ký thành công / hồ sơ đưa vào ký (tuần 3–4)</t>
  </si>
  <si>
    <t xml:space="preserve">Sự cố ảnh hưởng HIS hoặc lộ dữ liệu</t>
  </si>
  <si>
    <t xml:space="preserve">Số sự cố trong kỳ</t>
  </si>
  <si>
    <t xml:space="preserve">Nguyên tắc chỉ đọc HIS, dữ liệu ở lại BV.</t>
  </si>
  <si>
    <t xml:space="preserve">Chính xác</t>
  </si>
  <si>
    <t xml:space="preserve">Tỷ lệ báo nhầm</t>
  </si>
  <si>
    <t xml:space="preserve">Trên mẫu ≥ 200 lỗi chọn ngẫu nhiên tuần 4: số lỗi P. BHYT xác nhận báo nhầm / số lỗi rà</t>
  </si>
  <si>
    <t xml:space="preserve">Đề xuất; báo nhầm cao khiến người dùng bỏ qua cảnh báo thật.</t>
  </si>
  <si>
    <t xml:space="preserve">Phát hiện trước lỗi cổng trả về</t>
  </si>
  <si>
    <t xml:space="preserve">Số hồ sơ cổng trả về mà Tiền giám định đã báo lỗi trước / số hồ sơ cổng trả về</t>
  </si>
  <si>
    <t xml:space="preserve">Đề xuất; phần mềm chưa trùng toàn bộ quy tắc BHXH (deck giới thiệu).</t>
  </si>
  <si>
    <t xml:space="preserve">Hiệu quả</t>
  </si>
  <si>
    <t xml:space="preserve">Hồ sơ còn lỗi Nghiêm trọng khi gửi</t>
  </si>
  <si>
    <t xml:space="preserve">Tỷ lệ hồ sơ còn lỗi Nghiêm trọng tại thời điểm gửi, tuần 4 so với tuần 1 (tuần 4 / tuần 1)</t>
  </si>
  <si>
    <t xml:space="preserve">Đề xuất: giảm ≥ 30%. Quy trình vận hành mục 8.</t>
  </si>
  <si>
    <t xml:space="preserve">Thời gian sửa một hồ sơ lỗi</t>
  </si>
  <si>
    <t xml:space="preserve">Từ lúc giao lỗi tới lúc nạp lại hết lỗi Nghiêm trọng (ngày làm việc, trung bình)</t>
  </si>
  <si>
    <t xml:space="preserve">SLA 2 ngày làm việc — Quy trình vận hành mục 6, 8.</t>
  </si>
  <si>
    <t xml:space="preserve">Tỷ lệ hồ sơ bị cổng trả về</t>
  </si>
  <si>
    <t xml:space="preserve">Tỷ lệ trả về tháng chạy thử / tỷ lệ trả về bình quân 3 tháng trước</t>
  </si>
  <si>
    <t xml:space="preserve">Đề xuất: giảm ≥ 10% so với số liệu nền.</t>
  </si>
  <si>
    <t xml:space="preserve">Con người</t>
  </si>
  <si>
    <t xml:space="preserve">Khoa có đầu mối sử dụng được</t>
  </si>
  <si>
    <t xml:space="preserve">Số khoa có đầu mối tự tra lỗi, in phiếu lỗi / tổng số khoa có BN BHYT</t>
  </si>
  <si>
    <t xml:space="preserve">Mức hài lòng người dùng</t>
  </si>
  <si>
    <t xml:space="preserve">Điểm khảo sát trung bình (thang 5)</t>
  </si>
  <si>
    <t xml:space="preserve">Chỉ số bắt buộc</t>
  </si>
  <si>
    <t xml:space="preserve">  — đạt</t>
  </si>
  <si>
    <t xml:space="preserve">  — chưa đo</t>
  </si>
  <si>
    <t xml:space="preserve">Chỉ số tham khảo</t>
  </si>
  <si>
    <t xml:space="preserve">Tỷ lệ tham khảo tối thiểu phải đạt</t>
  </si>
  <si>
    <t xml:space="preserve">KẾT LUẬN</t>
  </si>
  <si>
    <t xml:space="preserve">Quy tắc kết luận: ĐẠT khi mọi chỉ số Bắt buộc đạt VÀ số chỉ số tham khảo đạt ≥ tỷ lệ tối thiểu. Khi Đạt, bật gửi cổng theo từng cơ sở và theo dõi thêm 2 tuần trước khi tắt quy trình cũ.</t>
  </si>
  <si>
    <t xml:space="preserve">RỦI RO &amp; BIỆN PHÁP</t>
  </si>
  <si>
    <t xml:space="preserve">Rủi ro</t>
  </si>
  <si>
    <t xml:space="preserve">Dấu hiệu</t>
  </si>
  <si>
    <t xml:space="preserve">Ảnh hưởng</t>
  </si>
  <si>
    <t xml:space="preserve">Biện pháp</t>
  </si>
  <si>
    <t xml:space="preserve">BV chưa đủ thông tin chuyển giao</t>
  </si>
  <si>
    <t xml:space="preserve">Còn mục Bắt buộc ở sheet BV chuan bi</t>
  </si>
  <si>
    <t xml:space="preserve">Lùi Ngày N</t>
  </si>
  <si>
    <t xml:space="preserve">Rà sheet BV chuan bi hằng tuần trước Ngày N; Ngày N chỉ chốt khi đủ</t>
  </si>
  <si>
    <t xml:space="preserve">Tổ TK BV</t>
  </si>
  <si>
    <t xml:space="preserve">Danh mục thiếu/sai hiệu lực</t>
  </si>
  <si>
    <t xml:space="preserve">Một mã lỗi danh mục xuất hiện ở hàng loạt hồ sơ</t>
  </si>
  <si>
    <t xml:space="preserve">Báo nhầm hàng loạt, người dùng mất tin tưởng</t>
  </si>
  <si>
    <t xml:space="preserve">Đối chiếu số dòng với cổng khi nạp; rà Pareto mã lỗi mỗi ngày tuần 1</t>
  </si>
  <si>
    <t xml:space="preserve">HIS không xuất đủ hồ sơ</t>
  </si>
  <si>
    <t xml:space="preserve">Độ phủ &lt; 100%</t>
  </si>
  <si>
    <t xml:space="preserve">Hồ sơ lên cổng không qua kiểm</t>
  </si>
  <si>
    <t xml:space="preserve">Đối chiếu số hồ sơ hằng tuần; tắt/bắt buộc mọi đường gửi khác đi qua Tiền giám định</t>
  </si>
  <si>
    <t xml:space="preserve">P. BHYT + NCC HIS</t>
  </si>
  <si>
    <t xml:space="preserve">Cấu hình PHP/RAM máy chủ thấp</t>
  </si>
  <si>
    <t xml:space="preserve">Nạp/xuất lỗi hết bộ nhớ, quá thời gian</t>
  </si>
  <si>
    <t xml:space="preserve">Hồ sơ không được kiểm</t>
  </si>
  <si>
    <t xml:space="preserve">Kiểm php.ini Ngày 1 (memory_limit ≥ 512M, max_execution_time ≥ 600)</t>
  </si>
  <si>
    <t xml:space="preserve">USB Token bị rút / HSM không phản hồi</t>
  </si>
  <si>
    <t xml:space="preserve">Hồ sơ kẹt ở bước ký</t>
  </si>
  <si>
    <t xml:space="preserve">Không xuất được XML đã ký</t>
  </si>
  <si>
    <t xml:space="preserve">Cố định token vào máy chủ; dùng lệnh xml3176:chay-lai-tu-xuat sau khi khắc phục</t>
  </si>
  <si>
    <t xml:space="preserve">Tài khoản cổng sai/hết hạn</t>
  </si>
  <si>
    <t xml:space="preserve">Tra thẻ báo lỗi đăng nhập</t>
  </si>
  <si>
    <t xml:space="preserve">Không tra được thẻ</t>
  </si>
  <si>
    <t xml:space="preserve">Khai đúng tài khoản từng cơ sở; P. BHYT báo khi đổi mật khẩu</t>
  </si>
  <si>
    <t xml:space="preserve">Nạp lô lớn làm hàng đợi tồn lâu</t>
  </si>
  <si>
    <t xml:space="preserve">Hàng đợi JobXml3176 tăng, chậm có kết quả</t>
  </si>
  <si>
    <t xml:space="preserve">Kết quả kiểm trễ</t>
  </si>
  <si>
    <t xml:space="preserve">Nạp lô ngoài giờ; theo dõi hàng đợi; tăng số worker nếu cần</t>
  </si>
  <si>
    <t xml:space="preserve">Người dùng bỏ qua cảnh báo</t>
  </si>
  <si>
    <t xml:space="preserve">Lỗi giao khoa không được sửa quá SLA</t>
  </si>
  <si>
    <t xml:space="preserve">Không cải thiện chỉ số</t>
  </si>
  <si>
    <t xml:space="preserve">SOP + SLA trong quy chế; họp tuần theo Pareto; đào tạo lại khoa nhiều lỗi</t>
  </si>
  <si>
    <t xml:space="preserve">Tắt mã lỗi để "cho qua"</t>
  </si>
  <si>
    <t xml:space="preserve">Danh mục mã lỗi đổi không có lý do</t>
  </si>
  <si>
    <t xml:space="preserve">Che lỗi thật</t>
  </si>
  <si>
    <t xml:space="preserve">Chỉ P. BHYT đổi mức lỗi, ghi lý do; báo nhầm gửi Công ty sửa quy tắc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</si>
</sst>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%"/>
    <numFmt numFmtId="167" formatCode="0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A17" activeCellId="0" sqref="A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</row>
    <row r="11" customFormat="false" ht="15" hidden="false" customHeight="false" outlineLevel="0" collapsed="false">
      <c r="A11" s="5" t="s">
        <v>7</v>
      </c>
      <c r="B11" s="6" t="n">
        <v>46328</v>
      </c>
      <c r="E11" s="7" t="s">
        <v>8</v>
      </c>
    </row>
    <row r="13" customFormat="false" ht="15" hidden="false" customHeight="false" outlineLevel="0" collapsed="false">
      <c r="A13" s="8" t="s">
        <v>9</v>
      </c>
      <c r="B13" s="8" t="s">
        <v>10</v>
      </c>
      <c r="C13" s="8" t="s">
        <v>11</v>
      </c>
      <c r="D13" s="8" t="s">
        <v>12</v>
      </c>
      <c r="E13" s="8" t="s">
        <v>13</v>
      </c>
    </row>
    <row r="14" customFormat="false" ht="30" hidden="false" customHeight="true" outlineLevel="0" collapsed="false">
      <c r="A14" s="9" t="s">
        <v>14</v>
      </c>
      <c r="B14" s="10" t="s">
        <v>15</v>
      </c>
      <c r="C14" s="10" t="n">
        <f aca="false">WORKDAY(B11,-1)</f>
        <v>46325</v>
      </c>
      <c r="D14" s="11"/>
      <c r="E14" s="9" t="s">
        <v>16</v>
      </c>
    </row>
    <row r="15" customFormat="false" ht="30" hidden="false" customHeight="true" outlineLevel="0" collapsed="false">
      <c r="A15" s="9" t="s">
        <v>17</v>
      </c>
      <c r="B15" s="10" t="n">
        <f aca="false">B11</f>
        <v>46328</v>
      </c>
      <c r="C15" s="10" t="n">
        <f aca="false">B15</f>
        <v>46328</v>
      </c>
      <c r="D15" s="11" t="n">
        <f aca="false">NETWORKDAYS(B15,C15)</f>
        <v>1</v>
      </c>
      <c r="E15" s="9" t="s">
        <v>18</v>
      </c>
    </row>
    <row r="16" customFormat="false" ht="30" hidden="false" customHeight="true" outlineLevel="0" collapsed="false">
      <c r="A16" s="9" t="s">
        <v>19</v>
      </c>
      <c r="B16" s="10" t="n">
        <f aca="false">WORKDAY(B11,1)</f>
        <v>46329</v>
      </c>
      <c r="C16" s="10" t="n">
        <f aca="false">B16</f>
        <v>46329</v>
      </c>
      <c r="D16" s="11" t="n">
        <f aca="false">NETWORKDAYS(B16,C16)</f>
        <v>1</v>
      </c>
      <c r="E16" s="9" t="s">
        <v>20</v>
      </c>
    </row>
    <row r="17" customFormat="false" ht="30" hidden="false" customHeight="true" outlineLevel="0" collapsed="false">
      <c r="A17" s="9" t="s">
        <v>21</v>
      </c>
      <c r="B17" s="10" t="n">
        <f aca="false">WORKDAY(B11,2)</f>
        <v>46330</v>
      </c>
      <c r="C17" s="10" t="n">
        <f aca="false">B17</f>
        <v>46330</v>
      </c>
      <c r="D17" s="11" t="n">
        <f aca="false">NETWORKDAYS(B17,C17)</f>
        <v>1</v>
      </c>
      <c r="E17" s="9" t="s">
        <v>22</v>
      </c>
    </row>
    <row r="18" customFormat="false" ht="30" hidden="false" customHeight="true" outlineLevel="0" collapsed="false">
      <c r="A18" s="9" t="s">
        <v>23</v>
      </c>
      <c r="B18" s="10" t="n">
        <f aca="false">WORKDAY(B11,3)</f>
        <v>46331</v>
      </c>
      <c r="C18" s="10" t="n">
        <f aca="false">EDATE(B18,1)-1</f>
        <v>46360</v>
      </c>
      <c r="D18" s="11" t="n">
        <f aca="false">C18-B18+1</f>
        <v>30</v>
      </c>
      <c r="E18" s="9" t="s">
        <v>24</v>
      </c>
    </row>
    <row r="19" customFormat="false" ht="30" hidden="false" customHeight="true" outlineLevel="0" collapsed="false">
      <c r="A19" s="9" t="s">
        <v>25</v>
      </c>
      <c r="B19" s="10" t="n">
        <f aca="false">WORKDAY(C18,1)</f>
        <v>46363</v>
      </c>
      <c r="C19" s="10" t="n">
        <f aca="false">WORKDAY(C18,3)</f>
        <v>46365</v>
      </c>
      <c r="D19" s="11" t="n">
        <f aca="false">NETWORKDAYS(B19,C19)</f>
        <v>3</v>
      </c>
      <c r="E19" s="9" t="s">
        <v>26</v>
      </c>
    </row>
    <row r="21" customFormat="false" ht="15" hidden="false" customHeight="false" outlineLevel="0" collapsed="false">
      <c r="A21" s="3" t="s">
        <v>27</v>
      </c>
    </row>
    <row r="22" customFormat="false" ht="15" hidden="false" customHeight="false" outlineLevel="0" collapsed="false">
      <c r="A22" s="12" t="s">
        <v>28</v>
      </c>
      <c r="B22" s="12" t="s">
        <v>29</v>
      </c>
      <c r="C22" s="12" t="s">
        <v>30</v>
      </c>
      <c r="D22" s="12" t="s">
        <v>31</v>
      </c>
      <c r="E22" s="12" t="s">
        <v>32</v>
      </c>
    </row>
    <row r="23" customFormat="false" ht="15" hidden="false" customHeight="false" outlineLevel="0" collapsed="false">
      <c r="A23" s="13" t="s">
        <v>33</v>
      </c>
      <c r="B23" s="14" t="n">
        <f aca="false">COUNTA('BV chuan bi'!H5:H31)</f>
        <v>22</v>
      </c>
      <c r="C23" s="14" t="n">
        <f aca="false">COUNTIF('BV chuan bi'!H5:H31,"Xong")</f>
        <v>0</v>
      </c>
      <c r="D23" s="14" t="n">
        <f aca="false">COUNTIF('BV chuan bi'!H5:H31,"Vướng")</f>
        <v>0</v>
      </c>
      <c r="E23" s="15" t="n">
        <f aca="false">IF(B23=0,0,C23/B23)</f>
        <v>0</v>
      </c>
    </row>
    <row r="24" customFormat="false" ht="15" hidden="false" customHeight="false" outlineLevel="0" collapsed="false">
      <c r="A24" s="13" t="s">
        <v>34</v>
      </c>
      <c r="B24" s="14" t="n">
        <f aca="false">COUNTA('Danh muc'!H5:H17)</f>
        <v>13</v>
      </c>
      <c r="C24" s="14" t="n">
        <f aca="false">COUNTIF('Danh muc'!H5:H17,"Xong")</f>
        <v>0</v>
      </c>
      <c r="D24" s="14" t="n">
        <f aca="false">COUNTIF('Danh muc'!H5:H17,"Vướng")</f>
        <v>0</v>
      </c>
      <c r="E24" s="15" t="n">
        <f aca="false">IF(B24=0,0,C24/B24)</f>
        <v>0</v>
      </c>
    </row>
    <row r="25" customFormat="false" ht="15" hidden="false" customHeight="false" outlineLevel="0" collapsed="false">
      <c r="A25" s="13" t="s">
        <v>35</v>
      </c>
      <c r="B25" s="14" t="n">
        <f aca="false">COUNTA('Cau hinh'!G5:G27)</f>
        <v>23</v>
      </c>
      <c r="C25" s="14" t="n">
        <f aca="false">COUNTIF('Cau hinh'!G5:G27,"Xong")</f>
        <v>0</v>
      </c>
      <c r="D25" s="14" t="n">
        <f aca="false">COUNTIF('Cau hinh'!G5:G27,"Vướng")</f>
        <v>0</v>
      </c>
      <c r="E25" s="15" t="n">
        <f aca="false">IF(B25=0,0,C25/B25)</f>
        <v>0</v>
      </c>
    </row>
    <row r="26" customFormat="false" ht="15" hidden="false" customHeight="false" outlineLevel="0" collapsed="false">
      <c r="A26" s="13" t="s">
        <v>36</v>
      </c>
      <c r="B26" s="14" t="n">
        <f aca="false">COUNTA('Trien khai 3 ngay'!H5:H29)</f>
        <v>22</v>
      </c>
      <c r="C26" s="14" t="n">
        <f aca="false">COUNTIF('Trien khai 3 ngay'!H5:H29,"Xong")</f>
        <v>0</v>
      </c>
      <c r="D26" s="14" t="n">
        <f aca="false">COUNTIF('Trien khai 3 ngay'!H5:H29,"Vướng")</f>
        <v>0</v>
      </c>
      <c r="E26" s="15" t="n">
        <f aca="false">IF(B26=0,0,C26/B26)</f>
        <v>0</v>
      </c>
    </row>
    <row r="27" customFormat="false" ht="15" hidden="false" customHeight="false" outlineLevel="0" collapsed="false">
      <c r="A27" s="13" t="s">
        <v>37</v>
      </c>
      <c r="B27" s="14" t="n">
        <f aca="false">COUNTA('Chay thu 1 thang'!H5:H17)</f>
        <v>13</v>
      </c>
      <c r="C27" s="14" t="n">
        <f aca="false">COUNTIF('Chay thu 1 thang'!H5:H17,"Xong")</f>
        <v>0</v>
      </c>
      <c r="D27" s="14" t="n">
        <f aca="false">COUNTIF('Chay thu 1 thang'!H5:H17,"Vướng")</f>
        <v>0</v>
      </c>
      <c r="E27" s="15" t="n">
        <f aca="false">IF(B27=0,0,C27/B27)</f>
        <v>0</v>
      </c>
    </row>
    <row r="29" customFormat="false" ht="30" hidden="false" customHeight="true" outlineLevel="0" collapsed="false">
      <c r="A29" s="5" t="s">
        <v>38</v>
      </c>
      <c r="B29" s="16" t="str">
        <f aca="false">'Danh gia'!D26</f>
        <v>CHƯA ĐỦ SỐ LIỆU — còn 7 chỉ số bắt buộc chưa đo</v>
      </c>
      <c r="C29" s="16"/>
      <c r="D29" s="16"/>
      <c r="E29" s="16"/>
    </row>
  </sheetData>
  <mergeCells count="7">
    <mergeCell ref="A1:F1"/>
    <mergeCell ref="A2:F2"/>
    <mergeCell ref="A5:E5"/>
    <mergeCell ref="A6:E6"/>
    <mergeCell ref="A7:E7"/>
    <mergeCell ref="A8:E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5" activePane="bottomLeft" state="frozen"/>
      <selection pane="topLeft" activeCell="A1" activeCellId="0" sqref="A1"/>
      <selection pane="bottomLeft" activeCell="D24" activeCellId="0" sqref="D2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8.5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</row>
    <row r="5" customFormat="false" ht="15" hidden="false" customHeight="true" outlineLevel="0" collapsed="false">
      <c r="A5" s="17"/>
      <c r="B5" s="17" t="s">
        <v>50</v>
      </c>
      <c r="C5" s="17"/>
      <c r="D5" s="17"/>
      <c r="E5" s="17"/>
      <c r="F5" s="17"/>
      <c r="G5" s="17"/>
      <c r="H5" s="17"/>
      <c r="I5" s="17"/>
    </row>
    <row r="6" customFormat="false" ht="46.95" hidden="false" customHeight="false" outlineLevel="0" collapsed="false">
      <c r="A6" s="11" t="n">
        <v>1</v>
      </c>
      <c r="B6" s="9" t="s">
        <v>51</v>
      </c>
      <c r="C6" s="9" t="s">
        <v>52</v>
      </c>
      <c r="D6" s="9" t="s">
        <v>53</v>
      </c>
      <c r="E6" s="9" t="s">
        <v>54</v>
      </c>
      <c r="F6" s="11" t="s">
        <v>55</v>
      </c>
      <c r="G6" s="10" t="n">
        <f aca="false">WORKDAY('Tong quan'!$B$11,-1)</f>
        <v>46325</v>
      </c>
      <c r="H6" s="11" t="s">
        <v>56</v>
      </c>
      <c r="I6" s="9" t="s">
        <v>57</v>
      </c>
    </row>
    <row r="7" customFormat="false" ht="35.5" hidden="false" customHeight="false" outlineLevel="0" collapsed="false">
      <c r="A7" s="11" t="n">
        <v>2</v>
      </c>
      <c r="B7" s="9" t="s">
        <v>51</v>
      </c>
      <c r="C7" s="9" t="s">
        <v>58</v>
      </c>
      <c r="D7" s="9" t="s">
        <v>59</v>
      </c>
      <c r="E7" s="9" t="s">
        <v>54</v>
      </c>
      <c r="F7" s="11" t="s">
        <v>55</v>
      </c>
      <c r="G7" s="10" t="n">
        <f aca="false">WORKDAY('Tong quan'!$B$11,-1)</f>
        <v>46325</v>
      </c>
      <c r="H7" s="11" t="s">
        <v>56</v>
      </c>
      <c r="I7" s="9" t="s">
        <v>60</v>
      </c>
    </row>
    <row r="8" customFormat="false" ht="24.05" hidden="false" customHeight="false" outlineLevel="0" collapsed="false">
      <c r="A8" s="11" t="n">
        <v>3</v>
      </c>
      <c r="B8" s="9" t="s">
        <v>51</v>
      </c>
      <c r="C8" s="9" t="s">
        <v>61</v>
      </c>
      <c r="D8" s="9" t="s">
        <v>62</v>
      </c>
      <c r="E8" s="9" t="s">
        <v>54</v>
      </c>
      <c r="F8" s="11" t="s">
        <v>55</v>
      </c>
      <c r="G8" s="10" t="n">
        <f aca="false">WORKDAY('Tong quan'!$B$11,-1)</f>
        <v>46325</v>
      </c>
      <c r="H8" s="11" t="s">
        <v>56</v>
      </c>
      <c r="I8" s="9"/>
    </row>
    <row r="9" customFormat="false" ht="24.05" hidden="false" customHeight="false" outlineLevel="0" collapsed="false">
      <c r="A9" s="11" t="n">
        <v>4</v>
      </c>
      <c r="B9" s="9" t="s">
        <v>51</v>
      </c>
      <c r="C9" s="9" t="s">
        <v>63</v>
      </c>
      <c r="D9" s="9" t="s">
        <v>64</v>
      </c>
      <c r="E9" s="9" t="s">
        <v>54</v>
      </c>
      <c r="F9" s="11" t="s">
        <v>65</v>
      </c>
      <c r="G9" s="10" t="n">
        <f aca="false">WORKDAY('Tong quan'!$B$11,-1)</f>
        <v>46325</v>
      </c>
      <c r="H9" s="11" t="s">
        <v>56</v>
      </c>
      <c r="I9" s="9"/>
    </row>
    <row r="10" customFormat="false" ht="15" hidden="false" customHeight="true" outlineLevel="0" collapsed="false">
      <c r="A10" s="17"/>
      <c r="B10" s="17" t="s">
        <v>66</v>
      </c>
      <c r="C10" s="17"/>
      <c r="D10" s="17"/>
      <c r="E10" s="17"/>
      <c r="F10" s="17"/>
      <c r="G10" s="17"/>
      <c r="H10" s="17"/>
      <c r="I10" s="17"/>
    </row>
    <row r="11" customFormat="false" ht="24.05" hidden="false" customHeight="false" outlineLevel="0" collapsed="false">
      <c r="A11" s="11" t="n">
        <v>5</v>
      </c>
      <c r="B11" s="9" t="s">
        <v>67</v>
      </c>
      <c r="C11" s="9" t="s">
        <v>68</v>
      </c>
      <c r="D11" s="9" t="s">
        <v>69</v>
      </c>
      <c r="E11" s="9" t="s">
        <v>54</v>
      </c>
      <c r="F11" s="11" t="s">
        <v>55</v>
      </c>
      <c r="G11" s="10" t="n">
        <f aca="false">WORKDAY('Tong quan'!$B$11,-1)</f>
        <v>46325</v>
      </c>
      <c r="H11" s="11" t="s">
        <v>56</v>
      </c>
      <c r="I11" s="9"/>
    </row>
    <row r="12" customFormat="false" ht="24.05" hidden="false" customHeight="false" outlineLevel="0" collapsed="false">
      <c r="A12" s="11" t="n">
        <v>6</v>
      </c>
      <c r="B12" s="9" t="s">
        <v>67</v>
      </c>
      <c r="C12" s="9" t="s">
        <v>70</v>
      </c>
      <c r="D12" s="9" t="s">
        <v>71</v>
      </c>
      <c r="E12" s="9" t="s">
        <v>54</v>
      </c>
      <c r="F12" s="11" t="s">
        <v>55</v>
      </c>
      <c r="G12" s="10" t="n">
        <f aca="false">WORKDAY('Tong quan'!$B$11,-1)</f>
        <v>46325</v>
      </c>
      <c r="H12" s="11" t="s">
        <v>56</v>
      </c>
      <c r="I12" s="9" t="s">
        <v>72</v>
      </c>
    </row>
    <row r="13" customFormat="false" ht="35.5" hidden="false" customHeight="false" outlineLevel="0" collapsed="false">
      <c r="A13" s="11" t="n">
        <v>7</v>
      </c>
      <c r="B13" s="9" t="s">
        <v>67</v>
      </c>
      <c r="C13" s="9" t="s">
        <v>73</v>
      </c>
      <c r="D13" s="9" t="s">
        <v>74</v>
      </c>
      <c r="E13" s="9" t="s">
        <v>75</v>
      </c>
      <c r="F13" s="11" t="s">
        <v>55</v>
      </c>
      <c r="G13" s="10" t="n">
        <f aca="false">WORKDAY('Tong quan'!$B$11,-1)</f>
        <v>46325</v>
      </c>
      <c r="H13" s="11" t="s">
        <v>56</v>
      </c>
      <c r="I13" s="9" t="s">
        <v>76</v>
      </c>
    </row>
    <row r="14" customFormat="false" ht="15" hidden="false" customHeight="false" outlineLevel="0" collapsed="false">
      <c r="A14" s="11" t="n">
        <v>8</v>
      </c>
      <c r="B14" s="9" t="s">
        <v>67</v>
      </c>
      <c r="C14" s="9" t="s">
        <v>77</v>
      </c>
      <c r="D14" s="9" t="s">
        <v>78</v>
      </c>
      <c r="E14" s="9" t="s">
        <v>54</v>
      </c>
      <c r="F14" s="11" t="s">
        <v>55</v>
      </c>
      <c r="G14" s="10" t="n">
        <f aca="false">WORKDAY('Tong quan'!$B$11,-1)</f>
        <v>46325</v>
      </c>
      <c r="H14" s="11" t="s">
        <v>56</v>
      </c>
      <c r="I14" s="9"/>
    </row>
    <row r="15" customFormat="false" ht="15" hidden="false" customHeight="false" outlineLevel="0" collapsed="false">
      <c r="A15" s="11" t="n">
        <v>9</v>
      </c>
      <c r="B15" s="9" t="s">
        <v>67</v>
      </c>
      <c r="C15" s="9" t="s">
        <v>79</v>
      </c>
      <c r="D15" s="9" t="s">
        <v>80</v>
      </c>
      <c r="E15" s="9" t="s">
        <v>54</v>
      </c>
      <c r="F15" s="11" t="s">
        <v>65</v>
      </c>
      <c r="G15" s="10" t="n">
        <f aca="false">WORKDAY('Tong quan'!$B$11,-1)</f>
        <v>46325</v>
      </c>
      <c r="H15" s="11" t="s">
        <v>56</v>
      </c>
      <c r="I15" s="9" t="s">
        <v>81</v>
      </c>
    </row>
    <row r="16" customFormat="false" ht="15" hidden="false" customHeight="true" outlineLevel="0" collapsed="false">
      <c r="A16" s="17"/>
      <c r="B16" s="17" t="s">
        <v>82</v>
      </c>
      <c r="C16" s="17"/>
      <c r="D16" s="17"/>
      <c r="E16" s="17"/>
      <c r="F16" s="17"/>
      <c r="G16" s="17"/>
      <c r="H16" s="17"/>
      <c r="I16" s="17"/>
    </row>
    <row r="17" customFormat="false" ht="24.05" hidden="false" customHeight="false" outlineLevel="0" collapsed="false">
      <c r="A17" s="11" t="n">
        <v>10</v>
      </c>
      <c r="B17" s="9" t="s">
        <v>83</v>
      </c>
      <c r="C17" s="9" t="s">
        <v>84</v>
      </c>
      <c r="D17" s="9" t="s">
        <v>85</v>
      </c>
      <c r="E17" s="9" t="s">
        <v>86</v>
      </c>
      <c r="F17" s="11" t="s">
        <v>55</v>
      </c>
      <c r="G17" s="10" t="n">
        <f aca="false">WORKDAY('Tong quan'!$B$11,-1)</f>
        <v>46325</v>
      </c>
      <c r="H17" s="11" t="s">
        <v>56</v>
      </c>
      <c r="I17" s="9" t="s">
        <v>87</v>
      </c>
    </row>
    <row r="18" customFormat="false" ht="24.05" hidden="false" customHeight="false" outlineLevel="0" collapsed="false">
      <c r="A18" s="11" t="n">
        <v>11</v>
      </c>
      <c r="B18" s="9" t="s">
        <v>83</v>
      </c>
      <c r="C18" s="9" t="s">
        <v>88</v>
      </c>
      <c r="D18" s="9" t="s">
        <v>89</v>
      </c>
      <c r="E18" s="9" t="s">
        <v>90</v>
      </c>
      <c r="F18" s="11" t="s">
        <v>55</v>
      </c>
      <c r="G18" s="10" t="n">
        <f aca="false">WORKDAY('Tong quan'!$B$11,-1)</f>
        <v>46325</v>
      </c>
      <c r="H18" s="11" t="s">
        <v>56</v>
      </c>
      <c r="I18" s="9" t="s">
        <v>91</v>
      </c>
    </row>
    <row r="19" customFormat="false" ht="24.05" hidden="false" customHeight="false" outlineLevel="0" collapsed="false">
      <c r="A19" s="11" t="n">
        <v>12</v>
      </c>
      <c r="B19" s="9" t="s">
        <v>83</v>
      </c>
      <c r="C19" s="9" t="s">
        <v>92</v>
      </c>
      <c r="D19" s="9" t="s">
        <v>93</v>
      </c>
      <c r="E19" s="9" t="s">
        <v>90</v>
      </c>
      <c r="F19" s="11" t="s">
        <v>55</v>
      </c>
      <c r="G19" s="10" t="n">
        <f aca="false">WORKDAY('Tong quan'!$B$11,-1)</f>
        <v>46325</v>
      </c>
      <c r="H19" s="11" t="s">
        <v>56</v>
      </c>
      <c r="I19" s="9" t="s">
        <v>94</v>
      </c>
    </row>
    <row r="20" customFormat="false" ht="24.05" hidden="false" customHeight="false" outlineLevel="0" collapsed="false">
      <c r="A20" s="11" t="n">
        <v>13</v>
      </c>
      <c r="B20" s="9" t="s">
        <v>83</v>
      </c>
      <c r="C20" s="9" t="s">
        <v>95</v>
      </c>
      <c r="D20" s="9" t="s">
        <v>96</v>
      </c>
      <c r="E20" s="9" t="s">
        <v>54</v>
      </c>
      <c r="F20" s="11" t="s">
        <v>65</v>
      </c>
      <c r="G20" s="10" t="n">
        <f aca="false">WORKDAY('Tong quan'!$B$11,-1)</f>
        <v>46325</v>
      </c>
      <c r="H20" s="11" t="s">
        <v>56</v>
      </c>
      <c r="I20" s="9" t="s">
        <v>97</v>
      </c>
    </row>
    <row r="21" customFormat="false" ht="15" hidden="false" customHeight="true" outlineLevel="0" collapsed="false">
      <c r="A21" s="17"/>
      <c r="B21" s="17" t="s">
        <v>98</v>
      </c>
      <c r="C21" s="17"/>
      <c r="D21" s="17"/>
      <c r="E21" s="17"/>
      <c r="F21" s="17"/>
      <c r="G21" s="17"/>
      <c r="H21" s="17"/>
      <c r="I21" s="17"/>
    </row>
    <row r="22" customFormat="false" ht="24.05" hidden="false" customHeight="false" outlineLevel="0" collapsed="false">
      <c r="A22" s="11" t="n">
        <v>14</v>
      </c>
      <c r="B22" s="9" t="s">
        <v>99</v>
      </c>
      <c r="C22" s="9" t="s">
        <v>100</v>
      </c>
      <c r="D22" s="9" t="s">
        <v>101</v>
      </c>
      <c r="E22" s="9" t="s">
        <v>102</v>
      </c>
      <c r="F22" s="11" t="s">
        <v>55</v>
      </c>
      <c r="G22" s="10" t="n">
        <f aca="false">WORKDAY('Tong quan'!$B$11,-1)</f>
        <v>46325</v>
      </c>
      <c r="H22" s="11" t="s">
        <v>56</v>
      </c>
      <c r="I22" s="9" t="s">
        <v>103</v>
      </c>
    </row>
    <row r="23" customFormat="false" ht="24.05" hidden="false" customHeight="false" outlineLevel="0" collapsed="false">
      <c r="A23" s="11" t="n">
        <v>15</v>
      </c>
      <c r="B23" s="9" t="s">
        <v>99</v>
      </c>
      <c r="C23" s="9" t="s">
        <v>104</v>
      </c>
      <c r="D23" s="9" t="s">
        <v>105</v>
      </c>
      <c r="E23" s="9" t="s">
        <v>102</v>
      </c>
      <c r="F23" s="11" t="s">
        <v>55</v>
      </c>
      <c r="G23" s="10" t="n">
        <f aca="false">WORKDAY('Tong quan'!$B$11,-1)</f>
        <v>46325</v>
      </c>
      <c r="H23" s="11" t="s">
        <v>56</v>
      </c>
      <c r="I23" s="9" t="s">
        <v>106</v>
      </c>
    </row>
    <row r="24" customFormat="false" ht="24.05" hidden="false" customHeight="false" outlineLevel="0" collapsed="false">
      <c r="A24" s="11" t="n">
        <v>16</v>
      </c>
      <c r="B24" s="9" t="s">
        <v>99</v>
      </c>
      <c r="C24" s="9" t="s">
        <v>107</v>
      </c>
      <c r="D24" s="9" t="s">
        <v>108</v>
      </c>
      <c r="E24" s="9" t="s">
        <v>102</v>
      </c>
      <c r="F24" s="11" t="s">
        <v>55</v>
      </c>
      <c r="G24" s="10" t="n">
        <f aca="false">WORKDAY('Tong quan'!$B$11,-1)</f>
        <v>46325</v>
      </c>
      <c r="H24" s="11" t="s">
        <v>56</v>
      </c>
      <c r="I24" s="9" t="s">
        <v>109</v>
      </c>
    </row>
    <row r="25" customFormat="false" ht="24.05" hidden="false" customHeight="false" outlineLevel="0" collapsed="false">
      <c r="A25" s="11" t="n">
        <v>17</v>
      </c>
      <c r="B25" s="9" t="s">
        <v>99</v>
      </c>
      <c r="C25" s="9" t="s">
        <v>110</v>
      </c>
      <c r="D25" s="9" t="s">
        <v>111</v>
      </c>
      <c r="E25" s="9" t="s">
        <v>112</v>
      </c>
      <c r="F25" s="11" t="s">
        <v>55</v>
      </c>
      <c r="G25" s="10" t="n">
        <f aca="false">WORKDAY('Tong quan'!$B$11,-1)</f>
        <v>46325</v>
      </c>
      <c r="H25" s="11" t="s">
        <v>56</v>
      </c>
      <c r="I25" s="9" t="s">
        <v>113</v>
      </c>
    </row>
    <row r="26" customFormat="false" ht="15" hidden="false" customHeight="true" outlineLevel="0" collapsed="false">
      <c r="A26" s="17"/>
      <c r="B26" s="17" t="s">
        <v>114</v>
      </c>
      <c r="C26" s="17"/>
      <c r="D26" s="17"/>
      <c r="E26" s="17"/>
      <c r="F26" s="17"/>
      <c r="G26" s="17"/>
      <c r="H26" s="17"/>
      <c r="I26" s="17"/>
    </row>
    <row r="27" customFormat="false" ht="24.05" hidden="false" customHeight="false" outlineLevel="0" collapsed="false">
      <c r="A27" s="11" t="n">
        <v>18</v>
      </c>
      <c r="B27" s="9" t="s">
        <v>115</v>
      </c>
      <c r="C27" s="9" t="s">
        <v>116</v>
      </c>
      <c r="D27" s="9" t="s">
        <v>117</v>
      </c>
      <c r="E27" s="9" t="s">
        <v>118</v>
      </c>
      <c r="F27" s="11" t="s">
        <v>55</v>
      </c>
      <c r="G27" s="10" t="n">
        <f aca="false">WORKDAY('Tong quan'!$B$11,-1)</f>
        <v>46325</v>
      </c>
      <c r="H27" s="11" t="s">
        <v>56</v>
      </c>
      <c r="I27" s="9" t="s">
        <v>119</v>
      </c>
    </row>
    <row r="28" customFormat="false" ht="24.05" hidden="false" customHeight="false" outlineLevel="0" collapsed="false">
      <c r="A28" s="11" t="n">
        <v>19</v>
      </c>
      <c r="B28" s="9" t="s">
        <v>115</v>
      </c>
      <c r="C28" s="9" t="s">
        <v>120</v>
      </c>
      <c r="D28" s="9" t="s">
        <v>121</v>
      </c>
      <c r="E28" s="9" t="s">
        <v>102</v>
      </c>
      <c r="F28" s="11" t="s">
        <v>55</v>
      </c>
      <c r="G28" s="10" t="n">
        <f aca="false">WORKDAY('Tong quan'!$B$11,-1)</f>
        <v>46325</v>
      </c>
      <c r="H28" s="11" t="s">
        <v>56</v>
      </c>
      <c r="I28" s="9" t="s">
        <v>122</v>
      </c>
    </row>
    <row r="29" customFormat="false" ht="24.05" hidden="false" customHeight="false" outlineLevel="0" collapsed="false">
      <c r="A29" s="11" t="n">
        <v>20</v>
      </c>
      <c r="B29" s="9" t="s">
        <v>115</v>
      </c>
      <c r="C29" s="9" t="s">
        <v>123</v>
      </c>
      <c r="D29" s="9" t="s">
        <v>124</v>
      </c>
      <c r="E29" s="9" t="s">
        <v>125</v>
      </c>
      <c r="F29" s="11" t="s">
        <v>55</v>
      </c>
      <c r="G29" s="10" t="n">
        <f aca="false">WORKDAY('Tong quan'!$B$11,-1)</f>
        <v>46325</v>
      </c>
      <c r="H29" s="11" t="s">
        <v>56</v>
      </c>
      <c r="I29" s="9"/>
    </row>
    <row r="30" customFormat="false" ht="24.05" hidden="false" customHeight="false" outlineLevel="0" collapsed="false">
      <c r="A30" s="11" t="n">
        <v>21</v>
      </c>
      <c r="B30" s="9" t="s">
        <v>115</v>
      </c>
      <c r="C30" s="9" t="s">
        <v>126</v>
      </c>
      <c r="D30" s="9" t="s">
        <v>127</v>
      </c>
      <c r="E30" s="9" t="s">
        <v>102</v>
      </c>
      <c r="F30" s="11" t="s">
        <v>55</v>
      </c>
      <c r="G30" s="10" t="n">
        <f aca="false">WORKDAY('Tong quan'!$B$11,-1)</f>
        <v>46325</v>
      </c>
      <c r="H30" s="11" t="s">
        <v>56</v>
      </c>
      <c r="I30" s="9" t="s">
        <v>128</v>
      </c>
    </row>
    <row r="31" customFormat="false" ht="24.05" hidden="false" customHeight="false" outlineLevel="0" collapsed="false">
      <c r="A31" s="11" t="n">
        <v>22</v>
      </c>
      <c r="B31" s="9" t="s">
        <v>115</v>
      </c>
      <c r="C31" s="9" t="s">
        <v>129</v>
      </c>
      <c r="D31" s="9" t="s">
        <v>130</v>
      </c>
      <c r="E31" s="9" t="s">
        <v>125</v>
      </c>
      <c r="F31" s="11" t="s">
        <v>65</v>
      </c>
      <c r="G31" s="10" t="n">
        <f aca="false">WORKDAY('Tong quan'!$B$11,-1)</f>
        <v>46325</v>
      </c>
      <c r="H31" s="11" t="s">
        <v>56</v>
      </c>
      <c r="I31" s="9" t="s">
        <v>131</v>
      </c>
    </row>
    <row r="33" customFormat="false" ht="15" hidden="false" customHeight="false" outlineLevel="0" collapsed="false">
      <c r="C33" s="5" t="s">
        <v>132</v>
      </c>
      <c r="D33" s="18" t="n">
        <f aca="false">COUNTIFS(F5:F31,"Có",H5:H31,"&lt;&gt;Xong")</f>
        <v>18</v>
      </c>
    </row>
    <row r="34" customFormat="false" ht="15" hidden="false" customHeight="false" outlineLevel="0" collapsed="false">
      <c r="C34" s="5" t="s">
        <v>133</v>
      </c>
      <c r="D34" s="5" t="str">
        <f aca="false">IF(D33=0,"ĐỦ — chốt Ngày N","CHƯA — còn "&amp;D33&amp;" mục bắt buộc")</f>
        <v>CHƯA — còn 18 mục bắt buộc</v>
      </c>
    </row>
  </sheetData>
  <mergeCells count="7">
    <mergeCell ref="A1:I1"/>
    <mergeCell ref="A2:I2"/>
    <mergeCell ref="B5:I5"/>
    <mergeCell ref="B10:I10"/>
    <mergeCell ref="B16:I16"/>
    <mergeCell ref="B21:I21"/>
    <mergeCell ref="B26:I26"/>
  </mergeCells>
  <conditionalFormatting sqref="H5:H31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"Vướng"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H5:H31" type="list">
      <formula1>"Chưa làm,Đang làm,Xong,Vướng"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18.55" hidden="false" customHeight="fals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135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8" t="s">
        <v>41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140</v>
      </c>
      <c r="G4" s="8" t="s">
        <v>141</v>
      </c>
      <c r="H4" s="8" t="s">
        <v>48</v>
      </c>
      <c r="I4" s="8" t="s">
        <v>142</v>
      </c>
    </row>
    <row r="5" customFormat="false" ht="35.5" hidden="false" customHeight="false" outlineLevel="0" collapsed="false">
      <c r="A5" s="11" t="n">
        <v>1</v>
      </c>
      <c r="B5" s="9" t="s">
        <v>143</v>
      </c>
      <c r="C5" s="11" t="s">
        <v>55</v>
      </c>
      <c r="D5" s="9" t="s">
        <v>144</v>
      </c>
      <c r="E5" s="9" t="s">
        <v>145</v>
      </c>
      <c r="F5" s="10" t="n">
        <f aca="false">WORKDAY('Tong quan'!$B$11,-1)</f>
        <v>46325</v>
      </c>
      <c r="G5" s="10" t="n">
        <f aca="false">WORKDAY('Tong quan'!$B$11,1)</f>
        <v>46329</v>
      </c>
      <c r="H5" s="11" t="s">
        <v>56</v>
      </c>
      <c r="I5" s="9" t="s">
        <v>146</v>
      </c>
    </row>
    <row r="6" customFormat="false" ht="24.05" hidden="false" customHeight="false" outlineLevel="0" collapsed="false">
      <c r="A6" s="11" t="n">
        <v>2</v>
      </c>
      <c r="B6" s="9" t="s">
        <v>147</v>
      </c>
      <c r="C6" s="11" t="s">
        <v>55</v>
      </c>
      <c r="D6" s="9" t="s">
        <v>148</v>
      </c>
      <c r="E6" s="9" t="s">
        <v>149</v>
      </c>
      <c r="F6" s="10" t="n">
        <f aca="false">WORKDAY('Tong quan'!$B$11,-1)</f>
        <v>46325</v>
      </c>
      <c r="G6" s="10" t="n">
        <f aca="false">WORKDAY('Tong quan'!$B$11,1)</f>
        <v>46329</v>
      </c>
      <c r="H6" s="11" t="s">
        <v>56</v>
      </c>
      <c r="I6" s="9"/>
    </row>
    <row r="7" customFormat="false" ht="24.05" hidden="false" customHeight="false" outlineLevel="0" collapsed="false">
      <c r="A7" s="11" t="n">
        <v>3</v>
      </c>
      <c r="B7" s="9" t="s">
        <v>150</v>
      </c>
      <c r="C7" s="11" t="s">
        <v>55</v>
      </c>
      <c r="D7" s="9" t="s">
        <v>151</v>
      </c>
      <c r="E7" s="9" t="s">
        <v>152</v>
      </c>
      <c r="F7" s="10" t="n">
        <f aca="false">WORKDAY('Tong quan'!$B$11,-1)</f>
        <v>46325</v>
      </c>
      <c r="G7" s="10" t="n">
        <f aca="false">WORKDAY('Tong quan'!$B$11,1)</f>
        <v>46329</v>
      </c>
      <c r="H7" s="11" t="s">
        <v>56</v>
      </c>
      <c r="I7" s="9" t="s">
        <v>153</v>
      </c>
    </row>
    <row r="8" customFormat="false" ht="15" hidden="false" customHeight="false" outlineLevel="0" collapsed="false">
      <c r="A8" s="11" t="n">
        <v>4</v>
      </c>
      <c r="B8" s="9" t="s">
        <v>154</v>
      </c>
      <c r="C8" s="11" t="s">
        <v>65</v>
      </c>
      <c r="D8" s="9" t="s">
        <v>155</v>
      </c>
      <c r="E8" s="9" t="s">
        <v>156</v>
      </c>
      <c r="F8" s="10" t="n">
        <f aca="false">WORKDAY('Tong quan'!$B$11,-1)</f>
        <v>46325</v>
      </c>
      <c r="G8" s="10" t="n">
        <f aca="false">WORKDAY('Tong quan'!$B$11,1)</f>
        <v>46329</v>
      </c>
      <c r="H8" s="11" t="s">
        <v>56</v>
      </c>
      <c r="I8" s="9"/>
    </row>
    <row r="9" customFormat="false" ht="15" hidden="false" customHeight="false" outlineLevel="0" collapsed="false">
      <c r="A9" s="11" t="n">
        <v>5</v>
      </c>
      <c r="B9" s="9" t="s">
        <v>157</v>
      </c>
      <c r="C9" s="11" t="s">
        <v>65</v>
      </c>
      <c r="D9" s="9" t="s">
        <v>155</v>
      </c>
      <c r="E9" s="9" t="s">
        <v>156</v>
      </c>
      <c r="F9" s="10" t="n">
        <f aca="false">WORKDAY('Tong quan'!$B$11,-1)</f>
        <v>46325</v>
      </c>
      <c r="G9" s="10" t="n">
        <f aca="false">WORKDAY('Tong quan'!$B$11,1)</f>
        <v>46329</v>
      </c>
      <c r="H9" s="11" t="s">
        <v>56</v>
      </c>
      <c r="I9" s="9" t="s">
        <v>158</v>
      </c>
    </row>
    <row r="10" customFormat="false" ht="24.05" hidden="false" customHeight="false" outlineLevel="0" collapsed="false">
      <c r="A10" s="11" t="n">
        <v>6</v>
      </c>
      <c r="B10" s="9" t="s">
        <v>159</v>
      </c>
      <c r="C10" s="11" t="s">
        <v>65</v>
      </c>
      <c r="D10" s="9" t="s">
        <v>160</v>
      </c>
      <c r="E10" s="9" t="s">
        <v>161</v>
      </c>
      <c r="F10" s="10" t="n">
        <f aca="false">WORKDAY('Tong quan'!$B$11,-1)</f>
        <v>46325</v>
      </c>
      <c r="G10" s="10" t="n">
        <f aca="false">WORKDAY('Tong quan'!$B$11,1)</f>
        <v>46329</v>
      </c>
      <c r="H10" s="11" t="s">
        <v>56</v>
      </c>
      <c r="I10" s="9" t="s">
        <v>162</v>
      </c>
    </row>
    <row r="11" customFormat="false" ht="24.05" hidden="false" customHeight="false" outlineLevel="0" collapsed="false">
      <c r="A11" s="11" t="n">
        <v>7</v>
      </c>
      <c r="B11" s="9" t="s">
        <v>163</v>
      </c>
      <c r="C11" s="11" t="s">
        <v>65</v>
      </c>
      <c r="D11" s="9" t="s">
        <v>164</v>
      </c>
      <c r="E11" s="9" t="s">
        <v>165</v>
      </c>
      <c r="F11" s="10" t="n">
        <f aca="false">WORKDAY('Tong quan'!$B$11,-1)</f>
        <v>46325</v>
      </c>
      <c r="G11" s="10" t="n">
        <f aca="false">WORKDAY('Tong quan'!$B$11,1)</f>
        <v>46329</v>
      </c>
      <c r="H11" s="11" t="s">
        <v>56</v>
      </c>
      <c r="I11" s="9"/>
    </row>
    <row r="12" customFormat="false" ht="24.05" hidden="false" customHeight="false" outlineLevel="0" collapsed="false">
      <c r="A12" s="11" t="n">
        <v>8</v>
      </c>
      <c r="B12" s="9" t="s">
        <v>166</v>
      </c>
      <c r="C12" s="11" t="s">
        <v>65</v>
      </c>
      <c r="D12" s="9" t="s">
        <v>167</v>
      </c>
      <c r="E12" s="9" t="s">
        <v>156</v>
      </c>
      <c r="F12" s="10" t="n">
        <f aca="false">WORKDAY('Tong quan'!$B$11,-1)</f>
        <v>46325</v>
      </c>
      <c r="G12" s="10" t="n">
        <f aca="false">WORKDAY('Tong quan'!$B$11,1)</f>
        <v>46329</v>
      </c>
      <c r="H12" s="11" t="s">
        <v>56</v>
      </c>
      <c r="I12" s="9"/>
    </row>
    <row r="13" customFormat="false" ht="24.05" hidden="false" customHeight="false" outlineLevel="0" collapsed="false">
      <c r="A13" s="11" t="n">
        <v>9</v>
      </c>
      <c r="B13" s="9" t="s">
        <v>168</v>
      </c>
      <c r="C13" s="11" t="s">
        <v>65</v>
      </c>
      <c r="D13" s="9" t="s">
        <v>169</v>
      </c>
      <c r="E13" s="9" t="s">
        <v>170</v>
      </c>
      <c r="F13" s="10" t="n">
        <f aca="false">WORKDAY('Tong quan'!$B$11,-1)</f>
        <v>46325</v>
      </c>
      <c r="G13" s="10" t="n">
        <f aca="false">WORKDAY('Tong quan'!$B$11,1)</f>
        <v>46329</v>
      </c>
      <c r="H13" s="11" t="s">
        <v>56</v>
      </c>
      <c r="I13" s="9" t="s">
        <v>171</v>
      </c>
    </row>
    <row r="14" customFormat="false" ht="24.05" hidden="false" customHeight="false" outlineLevel="0" collapsed="false">
      <c r="A14" s="11" t="n">
        <v>10</v>
      </c>
      <c r="B14" s="9" t="s">
        <v>172</v>
      </c>
      <c r="C14" s="11" t="s">
        <v>65</v>
      </c>
      <c r="D14" s="9" t="s">
        <v>173</v>
      </c>
      <c r="E14" s="9" t="s">
        <v>174</v>
      </c>
      <c r="F14" s="10" t="n">
        <f aca="false">WORKDAY('Tong quan'!$B$11,-1)</f>
        <v>46325</v>
      </c>
      <c r="G14" s="10" t="n">
        <f aca="false">WORKDAY('Tong quan'!$B$11,1)</f>
        <v>46329</v>
      </c>
      <c r="H14" s="11" t="s">
        <v>56</v>
      </c>
      <c r="I14" s="9"/>
    </row>
    <row r="15" customFormat="false" ht="15" hidden="false" customHeight="false" outlineLevel="0" collapsed="false">
      <c r="A15" s="11" t="n">
        <v>11</v>
      </c>
      <c r="B15" s="9" t="s">
        <v>175</v>
      </c>
      <c r="C15" s="11" t="s">
        <v>65</v>
      </c>
      <c r="D15" s="9" t="s">
        <v>176</v>
      </c>
      <c r="E15" s="9" t="s">
        <v>156</v>
      </c>
      <c r="F15" s="10" t="n">
        <f aca="false">WORKDAY('Tong quan'!$B$11,-1)</f>
        <v>46325</v>
      </c>
      <c r="G15" s="10" t="n">
        <f aca="false">WORKDAY('Tong quan'!$B$11,1)</f>
        <v>46329</v>
      </c>
      <c r="H15" s="11" t="s">
        <v>56</v>
      </c>
      <c r="I15" s="9"/>
    </row>
    <row r="16" customFormat="false" ht="15" hidden="false" customHeight="false" outlineLevel="0" collapsed="false">
      <c r="A16" s="11" t="n">
        <v>12</v>
      </c>
      <c r="B16" s="9" t="s">
        <v>177</v>
      </c>
      <c r="C16" s="11" t="s">
        <v>65</v>
      </c>
      <c r="D16" s="9" t="s">
        <v>178</v>
      </c>
      <c r="E16" s="9" t="s">
        <v>156</v>
      </c>
      <c r="F16" s="10" t="n">
        <f aca="false">WORKDAY('Tong quan'!$B$11,-1)</f>
        <v>46325</v>
      </c>
      <c r="G16" s="10" t="n">
        <f aca="false">WORKDAY('Tong quan'!$B$11,1)</f>
        <v>46329</v>
      </c>
      <c r="H16" s="11" t="s">
        <v>56</v>
      </c>
      <c r="I16" s="9"/>
    </row>
    <row r="17" customFormat="false" ht="15" hidden="false" customHeight="false" outlineLevel="0" collapsed="false">
      <c r="A17" s="11" t="n">
        <v>13</v>
      </c>
      <c r="B17" s="9" t="s">
        <v>179</v>
      </c>
      <c r="C17" s="11" t="s">
        <v>65</v>
      </c>
      <c r="D17" s="9" t="s">
        <v>180</v>
      </c>
      <c r="E17" s="9" t="s">
        <v>156</v>
      </c>
      <c r="F17" s="10" t="n">
        <f aca="false">WORKDAY('Tong quan'!$B$11,-1)</f>
        <v>46325</v>
      </c>
      <c r="G17" s="10" t="n">
        <f aca="false">WORKDAY('Tong quan'!$B$11,1)</f>
        <v>46329</v>
      </c>
      <c r="H17" s="11" t="s">
        <v>56</v>
      </c>
      <c r="I17" s="9"/>
    </row>
    <row r="19" customFormat="false" ht="30" hidden="false" customHeight="true" outlineLevel="0" collapsed="false">
      <c r="B19" s="5" t="s">
        <v>181</v>
      </c>
      <c r="D19" s="4" t="s">
        <v>182</v>
      </c>
      <c r="E19" s="4"/>
      <c r="F19" s="4"/>
      <c r="G19" s="4"/>
      <c r="H19" s="4"/>
      <c r="I19" s="4"/>
    </row>
  </sheetData>
  <mergeCells count="3">
    <mergeCell ref="A1:I1"/>
    <mergeCell ref="A2:I2"/>
    <mergeCell ref="D19:I19"/>
  </mergeCells>
  <conditionalFormatting sqref="H5:H17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"Vướng"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H5:H17" type="list">
      <formula1>"Chưa làm,Đang làm,Xong,Vướng"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1"/>
  </cols>
  <sheetData>
    <row r="1" customFormat="false" ht="18.55" hidden="false" customHeight="false" outlineLevel="0" collapsed="false">
      <c r="A1" s="1" t="s">
        <v>183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8" t="s">
        <v>41</v>
      </c>
      <c r="B4" s="8" t="s">
        <v>42</v>
      </c>
      <c r="C4" s="8" t="s">
        <v>185</v>
      </c>
      <c r="D4" s="8" t="s">
        <v>186</v>
      </c>
      <c r="E4" s="8" t="s">
        <v>187</v>
      </c>
      <c r="F4" s="8" t="s">
        <v>188</v>
      </c>
      <c r="G4" s="8" t="s">
        <v>48</v>
      </c>
    </row>
    <row r="5" customFormat="false" ht="24.05" hidden="false" customHeight="false" outlineLevel="0" collapsed="false">
      <c r="A5" s="11" t="n">
        <v>1</v>
      </c>
      <c r="B5" s="9" t="s">
        <v>189</v>
      </c>
      <c r="C5" s="9" t="s">
        <v>190</v>
      </c>
      <c r="D5" s="9" t="s">
        <v>191</v>
      </c>
      <c r="E5" s="9" t="s">
        <v>192</v>
      </c>
      <c r="F5" s="19"/>
      <c r="G5" s="11" t="s">
        <v>56</v>
      </c>
    </row>
    <row r="6" customFormat="false" ht="35.5" hidden="false" customHeight="false" outlineLevel="0" collapsed="false">
      <c r="A6" s="11" t="n">
        <v>2</v>
      </c>
      <c r="B6" s="9" t="s">
        <v>189</v>
      </c>
      <c r="C6" s="9" t="s">
        <v>193</v>
      </c>
      <c r="D6" s="9" t="s">
        <v>194</v>
      </c>
      <c r="E6" s="9" t="s">
        <v>195</v>
      </c>
      <c r="F6" s="19"/>
      <c r="G6" s="11" t="s">
        <v>56</v>
      </c>
    </row>
    <row r="7" customFormat="false" ht="15" hidden="false" customHeight="false" outlineLevel="0" collapsed="false">
      <c r="A7" s="11" t="n">
        <v>3</v>
      </c>
      <c r="B7" s="9" t="s">
        <v>189</v>
      </c>
      <c r="C7" s="9" t="s">
        <v>196</v>
      </c>
      <c r="D7" s="9" t="s">
        <v>197</v>
      </c>
      <c r="E7" s="9" t="s">
        <v>198</v>
      </c>
      <c r="F7" s="19"/>
      <c r="G7" s="11" t="s">
        <v>56</v>
      </c>
    </row>
    <row r="8" customFormat="false" ht="15" hidden="false" customHeight="false" outlineLevel="0" collapsed="false">
      <c r="A8" s="11" t="n">
        <v>4</v>
      </c>
      <c r="B8" s="9" t="s">
        <v>189</v>
      </c>
      <c r="C8" s="9" t="s">
        <v>199</v>
      </c>
      <c r="D8" s="9" t="s">
        <v>200</v>
      </c>
      <c r="E8" s="9" t="s">
        <v>201</v>
      </c>
      <c r="F8" s="19"/>
      <c r="G8" s="11" t="s">
        <v>56</v>
      </c>
    </row>
    <row r="9" customFormat="false" ht="15" hidden="false" customHeight="false" outlineLevel="0" collapsed="false">
      <c r="A9" s="11" t="n">
        <v>5</v>
      </c>
      <c r="B9" s="9" t="s">
        <v>189</v>
      </c>
      <c r="C9" s="9" t="s">
        <v>202</v>
      </c>
      <c r="D9" s="9" t="s">
        <v>203</v>
      </c>
      <c r="E9" s="9" t="s">
        <v>204</v>
      </c>
      <c r="F9" s="19"/>
      <c r="G9" s="11" t="s">
        <v>56</v>
      </c>
    </row>
    <row r="10" customFormat="false" ht="15" hidden="false" customHeight="false" outlineLevel="0" collapsed="false">
      <c r="A10" s="11" t="n">
        <v>6</v>
      </c>
      <c r="B10" s="9" t="s">
        <v>205</v>
      </c>
      <c r="C10" s="9" t="s">
        <v>206</v>
      </c>
      <c r="D10" s="9" t="s">
        <v>207</v>
      </c>
      <c r="E10" s="9" t="s">
        <v>208</v>
      </c>
      <c r="F10" s="19"/>
      <c r="G10" s="11" t="s">
        <v>56</v>
      </c>
    </row>
    <row r="11" customFormat="false" ht="15" hidden="false" customHeight="false" outlineLevel="0" collapsed="false">
      <c r="A11" s="11" t="n">
        <v>7</v>
      </c>
      <c r="B11" s="9" t="s">
        <v>205</v>
      </c>
      <c r="C11" s="9" t="s">
        <v>209</v>
      </c>
      <c r="D11" s="9" t="s">
        <v>210</v>
      </c>
      <c r="E11" s="9" t="s">
        <v>208</v>
      </c>
      <c r="F11" s="19"/>
      <c r="G11" s="11" t="s">
        <v>56</v>
      </c>
    </row>
    <row r="12" customFormat="false" ht="24.05" hidden="false" customHeight="false" outlineLevel="0" collapsed="false">
      <c r="A12" s="11" t="n">
        <v>8</v>
      </c>
      <c r="B12" s="9" t="s">
        <v>205</v>
      </c>
      <c r="C12" s="9" t="s">
        <v>211</v>
      </c>
      <c r="D12" s="9" t="s">
        <v>212</v>
      </c>
      <c r="E12" s="9" t="s">
        <v>213</v>
      </c>
      <c r="F12" s="19"/>
      <c r="G12" s="11" t="s">
        <v>56</v>
      </c>
    </row>
    <row r="13" customFormat="false" ht="15" hidden="false" customHeight="false" outlineLevel="0" collapsed="false">
      <c r="A13" s="11" t="n">
        <v>9</v>
      </c>
      <c r="B13" s="9" t="s">
        <v>214</v>
      </c>
      <c r="C13" s="9" t="s">
        <v>215</v>
      </c>
      <c r="D13" s="9" t="s">
        <v>216</v>
      </c>
      <c r="E13" s="9" t="s">
        <v>217</v>
      </c>
      <c r="F13" s="19"/>
      <c r="G13" s="11" t="s">
        <v>56</v>
      </c>
    </row>
    <row r="14" customFormat="false" ht="15" hidden="false" customHeight="false" outlineLevel="0" collapsed="false">
      <c r="A14" s="11" t="n">
        <v>10</v>
      </c>
      <c r="B14" s="9" t="s">
        <v>218</v>
      </c>
      <c r="C14" s="9" t="s">
        <v>219</v>
      </c>
      <c r="D14" s="9" t="s">
        <v>220</v>
      </c>
      <c r="E14" s="9" t="s">
        <v>217</v>
      </c>
      <c r="F14" s="19"/>
      <c r="G14" s="11" t="s">
        <v>56</v>
      </c>
    </row>
    <row r="15" customFormat="false" ht="15" hidden="false" customHeight="false" outlineLevel="0" collapsed="false">
      <c r="A15" s="11" t="n">
        <v>11</v>
      </c>
      <c r="B15" s="9" t="s">
        <v>218</v>
      </c>
      <c r="C15" s="9" t="s">
        <v>221</v>
      </c>
      <c r="D15" s="9" t="s">
        <v>222</v>
      </c>
      <c r="E15" s="9" t="s">
        <v>223</v>
      </c>
      <c r="F15" s="19"/>
      <c r="G15" s="11" t="s">
        <v>56</v>
      </c>
    </row>
    <row r="16" customFormat="false" ht="24.05" hidden="false" customHeight="false" outlineLevel="0" collapsed="false">
      <c r="A16" s="11" t="n">
        <v>12</v>
      </c>
      <c r="B16" s="9" t="s">
        <v>218</v>
      </c>
      <c r="C16" s="9" t="s">
        <v>224</v>
      </c>
      <c r="D16" s="9" t="s">
        <v>225</v>
      </c>
      <c r="E16" s="9" t="s">
        <v>226</v>
      </c>
      <c r="F16" s="19"/>
      <c r="G16" s="11" t="s">
        <v>56</v>
      </c>
    </row>
    <row r="17" customFormat="false" ht="15" hidden="false" customHeight="false" outlineLevel="0" collapsed="false">
      <c r="A17" s="11" t="n">
        <v>13</v>
      </c>
      <c r="B17" s="9" t="s">
        <v>227</v>
      </c>
      <c r="C17" s="9" t="s">
        <v>228</v>
      </c>
      <c r="D17" s="9" t="s">
        <v>229</v>
      </c>
      <c r="E17" s="9" t="s">
        <v>230</v>
      </c>
      <c r="F17" s="19"/>
      <c r="G17" s="11" t="s">
        <v>56</v>
      </c>
    </row>
    <row r="18" customFormat="false" ht="15" hidden="false" customHeight="false" outlineLevel="0" collapsed="false">
      <c r="A18" s="11" t="n">
        <v>14</v>
      </c>
      <c r="B18" s="9" t="s">
        <v>227</v>
      </c>
      <c r="C18" s="9" t="s">
        <v>231</v>
      </c>
      <c r="D18" s="9" t="s">
        <v>232</v>
      </c>
      <c r="E18" s="9" t="s">
        <v>230</v>
      </c>
      <c r="F18" s="19"/>
      <c r="G18" s="11" t="s">
        <v>56</v>
      </c>
    </row>
    <row r="19" customFormat="false" ht="15" hidden="false" customHeight="false" outlineLevel="0" collapsed="false">
      <c r="A19" s="11" t="n">
        <v>15</v>
      </c>
      <c r="B19" s="9" t="s">
        <v>233</v>
      </c>
      <c r="C19" s="9" t="s">
        <v>234</v>
      </c>
      <c r="D19" s="9" t="s">
        <v>235</v>
      </c>
      <c r="E19" s="9" t="s">
        <v>236</v>
      </c>
      <c r="F19" s="19"/>
      <c r="G19" s="11" t="s">
        <v>56</v>
      </c>
    </row>
    <row r="20" customFormat="false" ht="15" hidden="false" customHeight="false" outlineLevel="0" collapsed="false">
      <c r="A20" s="11" t="n">
        <v>16</v>
      </c>
      <c r="B20" s="9" t="s">
        <v>233</v>
      </c>
      <c r="C20" s="9" t="s">
        <v>237</v>
      </c>
      <c r="D20" s="9" t="s">
        <v>238</v>
      </c>
      <c r="E20" s="9" t="s">
        <v>236</v>
      </c>
      <c r="F20" s="19"/>
      <c r="G20" s="11" t="s">
        <v>56</v>
      </c>
    </row>
    <row r="21" customFormat="false" ht="15" hidden="false" customHeight="false" outlineLevel="0" collapsed="false">
      <c r="A21" s="11" t="n">
        <v>17</v>
      </c>
      <c r="B21" s="9" t="s">
        <v>233</v>
      </c>
      <c r="C21" s="9" t="s">
        <v>239</v>
      </c>
      <c r="D21" s="9" t="s">
        <v>240</v>
      </c>
      <c r="E21" s="9" t="s">
        <v>236</v>
      </c>
      <c r="F21" s="19"/>
      <c r="G21" s="11" t="s">
        <v>56</v>
      </c>
    </row>
    <row r="22" customFormat="false" ht="15" hidden="false" customHeight="false" outlineLevel="0" collapsed="false">
      <c r="A22" s="11" t="n">
        <v>18</v>
      </c>
      <c r="B22" s="9" t="s">
        <v>233</v>
      </c>
      <c r="C22" s="9" t="s">
        <v>241</v>
      </c>
      <c r="D22" s="9" t="s">
        <v>242</v>
      </c>
      <c r="E22" s="9" t="s">
        <v>236</v>
      </c>
      <c r="F22" s="19"/>
      <c r="G22" s="11" t="s">
        <v>56</v>
      </c>
    </row>
    <row r="23" customFormat="false" ht="24.05" hidden="false" customHeight="false" outlineLevel="0" collapsed="false">
      <c r="A23" s="11" t="n">
        <v>19</v>
      </c>
      <c r="B23" s="9" t="s">
        <v>233</v>
      </c>
      <c r="C23" s="9" t="s">
        <v>243</v>
      </c>
      <c r="D23" s="9" t="s">
        <v>244</v>
      </c>
      <c r="E23" s="9" t="s">
        <v>245</v>
      </c>
      <c r="F23" s="19"/>
      <c r="G23" s="11" t="s">
        <v>56</v>
      </c>
    </row>
    <row r="24" customFormat="false" ht="15" hidden="false" customHeight="false" outlineLevel="0" collapsed="false">
      <c r="A24" s="11" t="n">
        <v>20</v>
      </c>
      <c r="B24" s="9" t="s">
        <v>233</v>
      </c>
      <c r="C24" s="9" t="s">
        <v>246</v>
      </c>
      <c r="D24" s="9" t="s">
        <v>247</v>
      </c>
      <c r="E24" s="9" t="s">
        <v>248</v>
      </c>
      <c r="F24" s="19"/>
      <c r="G24" s="11" t="s">
        <v>56</v>
      </c>
    </row>
    <row r="25" customFormat="false" ht="15" hidden="false" customHeight="false" outlineLevel="0" collapsed="false">
      <c r="A25" s="11" t="n">
        <v>21</v>
      </c>
      <c r="B25" s="9" t="s">
        <v>233</v>
      </c>
      <c r="C25" s="9" t="s">
        <v>249</v>
      </c>
      <c r="D25" s="9" t="s">
        <v>250</v>
      </c>
      <c r="E25" s="9" t="s">
        <v>236</v>
      </c>
      <c r="F25" s="19"/>
      <c r="G25" s="11" t="s">
        <v>56</v>
      </c>
    </row>
    <row r="26" customFormat="false" ht="15" hidden="false" customHeight="false" outlineLevel="0" collapsed="false">
      <c r="A26" s="11" t="n">
        <v>22</v>
      </c>
      <c r="B26" s="9" t="s">
        <v>251</v>
      </c>
      <c r="C26" s="9" t="s">
        <v>252</v>
      </c>
      <c r="D26" s="9" t="s">
        <v>253</v>
      </c>
      <c r="E26" s="9" t="s">
        <v>254</v>
      </c>
      <c r="F26" s="19"/>
      <c r="G26" s="11" t="s">
        <v>56</v>
      </c>
    </row>
    <row r="27" customFormat="false" ht="24.05" hidden="false" customHeight="false" outlineLevel="0" collapsed="false">
      <c r="A27" s="11" t="n">
        <v>23</v>
      </c>
      <c r="B27" s="9" t="s">
        <v>255</v>
      </c>
      <c r="C27" s="9" t="s">
        <v>256</v>
      </c>
      <c r="D27" s="9" t="s">
        <v>257</v>
      </c>
      <c r="E27" s="9" t="s">
        <v>258</v>
      </c>
      <c r="F27" s="19"/>
      <c r="G27" s="11" t="s">
        <v>56</v>
      </c>
    </row>
  </sheetData>
  <mergeCells count="2">
    <mergeCell ref="A1:G1"/>
    <mergeCell ref="A2:G2"/>
  </mergeCells>
  <conditionalFormatting sqref="G5:G27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"Vướng"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G5:G27" type="list">
      <formula1>"Chưa làm,Đang làm,Xong,Vướng"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11"/>
    <col collapsed="false" customWidth="true" hidden="false" outlineLevel="0" max="9" min="9" style="0" width="26"/>
  </cols>
  <sheetData>
    <row r="1" customFormat="false" ht="18.55" hidden="false" customHeight="false" outlineLevel="0" collapsed="false">
      <c r="A1" s="1" t="s">
        <v>259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8" t="s">
        <v>41</v>
      </c>
      <c r="B4" s="8" t="s">
        <v>261</v>
      </c>
      <c r="C4" s="8" t="s">
        <v>262</v>
      </c>
      <c r="D4" s="8" t="s">
        <v>263</v>
      </c>
      <c r="E4" s="8" t="s">
        <v>264</v>
      </c>
      <c r="F4" s="8" t="s">
        <v>265</v>
      </c>
      <c r="G4" s="8" t="s">
        <v>266</v>
      </c>
      <c r="H4" s="8" t="s">
        <v>48</v>
      </c>
      <c r="I4" s="8" t="s">
        <v>142</v>
      </c>
    </row>
    <row r="5" customFormat="false" ht="15" hidden="false" customHeight="true" outlineLevel="0" collapsed="false">
      <c r="A5" s="17"/>
      <c r="B5" s="17" t="s">
        <v>267</v>
      </c>
      <c r="C5" s="17"/>
      <c r="D5" s="17"/>
      <c r="E5" s="17"/>
      <c r="F5" s="17"/>
      <c r="G5" s="17"/>
      <c r="H5" s="17"/>
      <c r="I5" s="17"/>
    </row>
    <row r="6" customFormat="false" ht="24.05" hidden="false" customHeight="false" outlineLevel="0" collapsed="false">
      <c r="A6" s="11" t="n">
        <v>1</v>
      </c>
      <c r="B6" s="10" t="n">
        <f aca="false">'Tong quan'!$B$11</f>
        <v>46328</v>
      </c>
      <c r="C6" s="11" t="s">
        <v>268</v>
      </c>
      <c r="D6" s="9" t="s">
        <v>269</v>
      </c>
      <c r="E6" s="9" t="s">
        <v>270</v>
      </c>
      <c r="F6" s="9" t="s">
        <v>271</v>
      </c>
      <c r="G6" s="9" t="s">
        <v>272</v>
      </c>
      <c r="H6" s="11" t="s">
        <v>56</v>
      </c>
      <c r="I6" s="9"/>
    </row>
    <row r="7" customFormat="false" ht="24.05" hidden="false" customHeight="false" outlineLevel="0" collapsed="false">
      <c r="A7" s="11" t="n">
        <v>2</v>
      </c>
      <c r="B7" s="10" t="n">
        <f aca="false">'Tong quan'!$B$11</f>
        <v>46328</v>
      </c>
      <c r="C7" s="11" t="s">
        <v>268</v>
      </c>
      <c r="D7" s="9" t="s">
        <v>273</v>
      </c>
      <c r="E7" s="9" t="s">
        <v>274</v>
      </c>
      <c r="F7" s="9" t="s">
        <v>54</v>
      </c>
      <c r="G7" s="9" t="s">
        <v>275</v>
      </c>
      <c r="H7" s="11" t="s">
        <v>56</v>
      </c>
      <c r="I7" s="9"/>
    </row>
    <row r="8" customFormat="false" ht="24.05" hidden="false" customHeight="false" outlineLevel="0" collapsed="false">
      <c r="A8" s="11" t="n">
        <v>3</v>
      </c>
      <c r="B8" s="10" t="n">
        <f aca="false">'Tong quan'!$B$11</f>
        <v>46328</v>
      </c>
      <c r="C8" s="11" t="s">
        <v>268</v>
      </c>
      <c r="D8" s="9" t="s">
        <v>276</v>
      </c>
      <c r="E8" s="9" t="s">
        <v>274</v>
      </c>
      <c r="F8" s="9" t="s">
        <v>54</v>
      </c>
      <c r="G8" s="9" t="s">
        <v>277</v>
      </c>
      <c r="H8" s="11" t="s">
        <v>56</v>
      </c>
      <c r="I8" s="9"/>
    </row>
    <row r="9" customFormat="false" ht="24.05" hidden="false" customHeight="false" outlineLevel="0" collapsed="false">
      <c r="A9" s="11" t="n">
        <v>4</v>
      </c>
      <c r="B9" s="10" t="n">
        <f aca="false">'Tong quan'!$B$11</f>
        <v>46328</v>
      </c>
      <c r="C9" s="11" t="s">
        <v>278</v>
      </c>
      <c r="D9" s="9" t="s">
        <v>279</v>
      </c>
      <c r="E9" s="9" t="s">
        <v>274</v>
      </c>
      <c r="F9" s="9" t="s">
        <v>54</v>
      </c>
      <c r="G9" s="9" t="s">
        <v>280</v>
      </c>
      <c r="H9" s="11" t="s">
        <v>56</v>
      </c>
      <c r="I9" s="9"/>
    </row>
    <row r="10" customFormat="false" ht="24.05" hidden="false" customHeight="false" outlineLevel="0" collapsed="false">
      <c r="A10" s="11" t="n">
        <v>5</v>
      </c>
      <c r="B10" s="10" t="n">
        <f aca="false">'Tong quan'!$B$11</f>
        <v>46328</v>
      </c>
      <c r="C10" s="11" t="s">
        <v>278</v>
      </c>
      <c r="D10" s="9" t="s">
        <v>281</v>
      </c>
      <c r="E10" s="9" t="s">
        <v>274</v>
      </c>
      <c r="F10" s="9" t="s">
        <v>282</v>
      </c>
      <c r="G10" s="9" t="s">
        <v>283</v>
      </c>
      <c r="H10" s="11" t="s">
        <v>56</v>
      </c>
      <c r="I10" s="9"/>
    </row>
    <row r="11" customFormat="false" ht="24.05" hidden="false" customHeight="false" outlineLevel="0" collapsed="false">
      <c r="A11" s="11" t="n">
        <v>6</v>
      </c>
      <c r="B11" s="10" t="n">
        <f aca="false">'Tong quan'!$B$11</f>
        <v>46328</v>
      </c>
      <c r="C11" s="11" t="s">
        <v>278</v>
      </c>
      <c r="D11" s="9" t="s">
        <v>284</v>
      </c>
      <c r="E11" s="9" t="s">
        <v>274</v>
      </c>
      <c r="F11" s="9" t="s">
        <v>102</v>
      </c>
      <c r="G11" s="9" t="s">
        <v>285</v>
      </c>
      <c r="H11" s="11" t="s">
        <v>56</v>
      </c>
      <c r="I11" s="9"/>
    </row>
    <row r="12" customFormat="false" ht="15" hidden="false" customHeight="false" outlineLevel="0" collapsed="false">
      <c r="A12" s="11" t="n">
        <v>7</v>
      </c>
      <c r="B12" s="10" t="n">
        <f aca="false">'Tong quan'!$B$11</f>
        <v>46328</v>
      </c>
      <c r="C12" s="11" t="s">
        <v>278</v>
      </c>
      <c r="D12" s="9" t="s">
        <v>286</v>
      </c>
      <c r="E12" s="9" t="s">
        <v>274</v>
      </c>
      <c r="F12" s="9" t="s">
        <v>54</v>
      </c>
      <c r="G12" s="9" t="s">
        <v>287</v>
      </c>
      <c r="H12" s="11" t="s">
        <v>56</v>
      </c>
      <c r="I12" s="9"/>
    </row>
    <row r="13" customFormat="false" ht="15" hidden="false" customHeight="false" outlineLevel="0" collapsed="false">
      <c r="A13" s="11" t="n">
        <v>8</v>
      </c>
      <c r="B13" s="10" t="n">
        <f aca="false">'Tong quan'!$B$11</f>
        <v>46328</v>
      </c>
      <c r="C13" s="11" t="s">
        <v>278</v>
      </c>
      <c r="D13" s="9" t="s">
        <v>288</v>
      </c>
      <c r="E13" s="9" t="s">
        <v>274</v>
      </c>
      <c r="F13" s="9" t="s">
        <v>54</v>
      </c>
      <c r="G13" s="9" t="s">
        <v>289</v>
      </c>
      <c r="H13" s="11" t="s">
        <v>56</v>
      </c>
      <c r="I13" s="9"/>
    </row>
    <row r="14" customFormat="false" ht="15" hidden="false" customHeight="true" outlineLevel="0" collapsed="false">
      <c r="A14" s="17"/>
      <c r="B14" s="17" t="s">
        <v>290</v>
      </c>
      <c r="C14" s="17"/>
      <c r="D14" s="17"/>
      <c r="E14" s="17"/>
      <c r="F14" s="17"/>
      <c r="G14" s="17"/>
      <c r="H14" s="17"/>
      <c r="I14" s="17"/>
    </row>
    <row r="15" customFormat="false" ht="24.05" hidden="false" customHeight="false" outlineLevel="0" collapsed="false">
      <c r="A15" s="11" t="n">
        <v>9</v>
      </c>
      <c r="B15" s="10" t="n">
        <f aca="false">WORKDAY('Tong quan'!$B$11,1)</f>
        <v>46329</v>
      </c>
      <c r="C15" s="11" t="s">
        <v>268</v>
      </c>
      <c r="D15" s="9" t="s">
        <v>291</v>
      </c>
      <c r="E15" s="9" t="s">
        <v>274</v>
      </c>
      <c r="F15" s="9" t="s">
        <v>292</v>
      </c>
      <c r="G15" s="9" t="s">
        <v>293</v>
      </c>
      <c r="H15" s="11" t="s">
        <v>56</v>
      </c>
      <c r="I15" s="9"/>
    </row>
    <row r="16" customFormat="false" ht="24.05" hidden="false" customHeight="false" outlineLevel="0" collapsed="false">
      <c r="A16" s="11" t="n">
        <v>10</v>
      </c>
      <c r="B16" s="10" t="n">
        <f aca="false">WORKDAY('Tong quan'!$B$11,1)</f>
        <v>46329</v>
      </c>
      <c r="C16" s="11" t="s">
        <v>268</v>
      </c>
      <c r="D16" s="9" t="s">
        <v>294</v>
      </c>
      <c r="E16" s="9" t="s">
        <v>274</v>
      </c>
      <c r="F16" s="9" t="s">
        <v>295</v>
      </c>
      <c r="G16" s="9" t="s">
        <v>296</v>
      </c>
      <c r="H16" s="11" t="s">
        <v>56</v>
      </c>
      <c r="I16" s="9"/>
    </row>
    <row r="17" customFormat="false" ht="24.05" hidden="false" customHeight="false" outlineLevel="0" collapsed="false">
      <c r="A17" s="11" t="n">
        <v>11</v>
      </c>
      <c r="B17" s="10" t="n">
        <f aca="false">WORKDAY('Tong quan'!$B$11,1)</f>
        <v>46329</v>
      </c>
      <c r="C17" s="11" t="s">
        <v>268</v>
      </c>
      <c r="D17" s="9" t="s">
        <v>297</v>
      </c>
      <c r="E17" s="9" t="s">
        <v>274</v>
      </c>
      <c r="F17" s="9" t="s">
        <v>102</v>
      </c>
      <c r="G17" s="9" t="s">
        <v>298</v>
      </c>
      <c r="H17" s="11" t="s">
        <v>56</v>
      </c>
      <c r="I17" s="9"/>
    </row>
    <row r="18" customFormat="false" ht="15" hidden="false" customHeight="false" outlineLevel="0" collapsed="false">
      <c r="A18" s="11" t="n">
        <v>12</v>
      </c>
      <c r="B18" s="10" t="n">
        <f aca="false">WORKDAY('Tong quan'!$B$11,1)</f>
        <v>46329</v>
      </c>
      <c r="C18" s="11" t="s">
        <v>278</v>
      </c>
      <c r="D18" s="9" t="s">
        <v>299</v>
      </c>
      <c r="E18" s="9" t="s">
        <v>274</v>
      </c>
      <c r="F18" s="9" t="s">
        <v>102</v>
      </c>
      <c r="G18" s="9" t="s">
        <v>300</v>
      </c>
      <c r="H18" s="11" t="s">
        <v>56</v>
      </c>
      <c r="I18" s="9"/>
    </row>
    <row r="19" customFormat="false" ht="24.05" hidden="false" customHeight="false" outlineLevel="0" collapsed="false">
      <c r="A19" s="11" t="n">
        <v>13</v>
      </c>
      <c r="B19" s="10" t="n">
        <f aca="false">WORKDAY('Tong quan'!$B$11,1)</f>
        <v>46329</v>
      </c>
      <c r="C19" s="11" t="s">
        <v>278</v>
      </c>
      <c r="D19" s="9" t="s">
        <v>301</v>
      </c>
      <c r="E19" s="9" t="s">
        <v>270</v>
      </c>
      <c r="F19" s="9" t="s">
        <v>90</v>
      </c>
      <c r="G19" s="9" t="s">
        <v>302</v>
      </c>
      <c r="H19" s="11" t="s">
        <v>56</v>
      </c>
      <c r="I19" s="9"/>
    </row>
    <row r="20" customFormat="false" ht="24.05" hidden="false" customHeight="false" outlineLevel="0" collapsed="false">
      <c r="A20" s="11" t="n">
        <v>14</v>
      </c>
      <c r="B20" s="10" t="n">
        <f aca="false">WORKDAY('Tong quan'!$B$11,1)</f>
        <v>46329</v>
      </c>
      <c r="C20" s="11" t="s">
        <v>278</v>
      </c>
      <c r="D20" s="9" t="s">
        <v>303</v>
      </c>
      <c r="E20" s="9" t="s">
        <v>270</v>
      </c>
      <c r="F20" s="9" t="s">
        <v>304</v>
      </c>
      <c r="G20" s="9" t="s">
        <v>305</v>
      </c>
      <c r="H20" s="11" t="s">
        <v>56</v>
      </c>
      <c r="I20" s="9"/>
    </row>
    <row r="21" customFormat="false" ht="24.05" hidden="false" customHeight="false" outlineLevel="0" collapsed="false">
      <c r="A21" s="11" t="n">
        <v>15</v>
      </c>
      <c r="B21" s="10" t="n">
        <f aca="false">WORKDAY('Tong quan'!$B$11,1)</f>
        <v>46329</v>
      </c>
      <c r="C21" s="11" t="s">
        <v>278</v>
      </c>
      <c r="D21" s="9" t="s">
        <v>306</v>
      </c>
      <c r="E21" s="9" t="s">
        <v>270</v>
      </c>
      <c r="F21" s="9" t="s">
        <v>102</v>
      </c>
      <c r="G21" s="9" t="s">
        <v>307</v>
      </c>
      <c r="H21" s="11" t="s">
        <v>56</v>
      </c>
      <c r="I21" s="9"/>
    </row>
    <row r="22" customFormat="false" ht="15" hidden="false" customHeight="true" outlineLevel="0" collapsed="false">
      <c r="A22" s="17"/>
      <c r="B22" s="17" t="s">
        <v>308</v>
      </c>
      <c r="C22" s="17"/>
      <c r="D22" s="17"/>
      <c r="E22" s="17"/>
      <c r="F22" s="17"/>
      <c r="G22" s="17"/>
      <c r="H22" s="17"/>
      <c r="I22" s="17"/>
    </row>
    <row r="23" customFormat="false" ht="24.05" hidden="false" customHeight="false" outlineLevel="0" collapsed="false">
      <c r="A23" s="11" t="n">
        <v>16</v>
      </c>
      <c r="B23" s="10" t="n">
        <f aca="false">WORKDAY('Tong quan'!$B$11,2)</f>
        <v>46330</v>
      </c>
      <c r="C23" s="11" t="s">
        <v>268</v>
      </c>
      <c r="D23" s="9" t="s">
        <v>309</v>
      </c>
      <c r="E23" s="9" t="s">
        <v>270</v>
      </c>
      <c r="F23" s="9" t="s">
        <v>310</v>
      </c>
      <c r="G23" s="9" t="s">
        <v>311</v>
      </c>
      <c r="H23" s="11" t="s">
        <v>56</v>
      </c>
      <c r="I23" s="9"/>
    </row>
    <row r="24" customFormat="false" ht="24.05" hidden="false" customHeight="false" outlineLevel="0" collapsed="false">
      <c r="A24" s="11" t="n">
        <v>17</v>
      </c>
      <c r="B24" s="10" t="n">
        <f aca="false">WORKDAY('Tong quan'!$B$11,2)</f>
        <v>46330</v>
      </c>
      <c r="C24" s="11" t="s">
        <v>268</v>
      </c>
      <c r="D24" s="9" t="s">
        <v>312</v>
      </c>
      <c r="E24" s="9" t="s">
        <v>313</v>
      </c>
      <c r="F24" s="9" t="s">
        <v>90</v>
      </c>
      <c r="G24" s="9" t="s">
        <v>314</v>
      </c>
      <c r="H24" s="11" t="s">
        <v>56</v>
      </c>
      <c r="I24" s="9"/>
    </row>
    <row r="25" customFormat="false" ht="15" hidden="false" customHeight="false" outlineLevel="0" collapsed="false">
      <c r="A25" s="11" t="n">
        <v>18</v>
      </c>
      <c r="B25" s="10" t="n">
        <f aca="false">WORKDAY('Tong quan'!$B$11,2)</f>
        <v>46330</v>
      </c>
      <c r="C25" s="11" t="s">
        <v>268</v>
      </c>
      <c r="D25" s="9" t="s">
        <v>315</v>
      </c>
      <c r="E25" s="9" t="s">
        <v>313</v>
      </c>
      <c r="F25" s="9" t="s">
        <v>316</v>
      </c>
      <c r="G25" s="9"/>
      <c r="H25" s="11" t="s">
        <v>56</v>
      </c>
      <c r="I25" s="9"/>
    </row>
    <row r="26" customFormat="false" ht="24.05" hidden="false" customHeight="false" outlineLevel="0" collapsed="false">
      <c r="A26" s="11" t="n">
        <v>19</v>
      </c>
      <c r="B26" s="10" t="n">
        <f aca="false">WORKDAY('Tong quan'!$B$11,2)</f>
        <v>46330</v>
      </c>
      <c r="C26" s="11" t="s">
        <v>278</v>
      </c>
      <c r="D26" s="9" t="s">
        <v>317</v>
      </c>
      <c r="E26" s="9" t="s">
        <v>313</v>
      </c>
      <c r="F26" s="9" t="s">
        <v>318</v>
      </c>
      <c r="G26" s="9" t="s">
        <v>319</v>
      </c>
      <c r="H26" s="11" t="s">
        <v>56</v>
      </c>
      <c r="I26" s="9"/>
    </row>
    <row r="27" customFormat="false" ht="24.05" hidden="false" customHeight="false" outlineLevel="0" collapsed="false">
      <c r="A27" s="11" t="n">
        <v>20</v>
      </c>
      <c r="B27" s="10" t="n">
        <f aca="false">WORKDAY('Tong quan'!$B$11,2)</f>
        <v>46330</v>
      </c>
      <c r="C27" s="11" t="s">
        <v>278</v>
      </c>
      <c r="D27" s="9" t="s">
        <v>320</v>
      </c>
      <c r="E27" s="9" t="s">
        <v>274</v>
      </c>
      <c r="F27" s="9" t="s">
        <v>54</v>
      </c>
      <c r="G27" s="9" t="s">
        <v>321</v>
      </c>
      <c r="H27" s="11" t="s">
        <v>56</v>
      </c>
      <c r="I27" s="9"/>
    </row>
    <row r="28" customFormat="false" ht="24.05" hidden="false" customHeight="false" outlineLevel="0" collapsed="false">
      <c r="A28" s="11" t="n">
        <v>21</v>
      </c>
      <c r="B28" s="10" t="n">
        <f aca="false">WORKDAY('Tong quan'!$B$11,2)</f>
        <v>46330</v>
      </c>
      <c r="C28" s="11" t="s">
        <v>278</v>
      </c>
      <c r="D28" s="9" t="s">
        <v>322</v>
      </c>
      <c r="E28" s="9" t="s">
        <v>270</v>
      </c>
      <c r="F28" s="9" t="s">
        <v>323</v>
      </c>
      <c r="G28" s="9" t="s">
        <v>324</v>
      </c>
      <c r="H28" s="11" t="s">
        <v>56</v>
      </c>
      <c r="I28" s="9"/>
    </row>
    <row r="29" customFormat="false" ht="24.05" hidden="false" customHeight="false" outlineLevel="0" collapsed="false">
      <c r="A29" s="11" t="n">
        <v>22</v>
      </c>
      <c r="B29" s="10" t="n">
        <f aca="false">WORKDAY('Tong quan'!$B$11,2)</f>
        <v>46330</v>
      </c>
      <c r="C29" s="11" t="s">
        <v>278</v>
      </c>
      <c r="D29" s="9" t="s">
        <v>325</v>
      </c>
      <c r="E29" s="9" t="s">
        <v>270</v>
      </c>
      <c r="F29" s="9" t="s">
        <v>271</v>
      </c>
      <c r="G29" s="9" t="s">
        <v>326</v>
      </c>
      <c r="H29" s="11" t="s">
        <v>56</v>
      </c>
      <c r="I29" s="9"/>
    </row>
  </sheetData>
  <mergeCells count="5">
    <mergeCell ref="A1:I1"/>
    <mergeCell ref="A2:I2"/>
    <mergeCell ref="B5:I5"/>
    <mergeCell ref="B14:I14"/>
    <mergeCell ref="B22:I22"/>
  </mergeCells>
  <conditionalFormatting sqref="H5:H29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"Vướng"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H5:H29" type="list">
      <formula1>"Chưa làm,Đang làm,Xong,Vướng"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54"/>
    <col collapsed="false" customWidth="true" hidden="false" outlineLevel="0" max="6" min="6" style="0" width="20"/>
    <col collapsed="false" customWidth="true" hidden="false" outlineLevel="0" max="7" min="7" style="0" width="36"/>
    <col collapsed="false" customWidth="true" hidden="false" outlineLevel="0" max="8" min="8" style="0" width="11"/>
    <col collapsed="false" customWidth="true" hidden="false" outlineLevel="0" max="9" min="9" style="0" width="24"/>
  </cols>
  <sheetData>
    <row r="1" customFormat="false" ht="18.55" hidden="false" customHeight="false" outlineLevel="0" collapsed="false">
      <c r="A1" s="1" t="s">
        <v>327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328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8" t="s">
        <v>41</v>
      </c>
      <c r="B4" s="8" t="s">
        <v>329</v>
      </c>
      <c r="C4" s="8" t="s">
        <v>330</v>
      </c>
      <c r="D4" s="8" t="s">
        <v>331</v>
      </c>
      <c r="E4" s="8" t="s">
        <v>263</v>
      </c>
      <c r="F4" s="8" t="s">
        <v>332</v>
      </c>
      <c r="G4" s="8" t="s">
        <v>333</v>
      </c>
      <c r="H4" s="8" t="s">
        <v>48</v>
      </c>
      <c r="I4" s="8" t="s">
        <v>142</v>
      </c>
    </row>
    <row r="5" customFormat="false" ht="24.05" hidden="false" customHeight="false" outlineLevel="0" collapsed="false">
      <c r="A5" s="11" t="n">
        <v>1</v>
      </c>
      <c r="B5" s="11" t="s">
        <v>334</v>
      </c>
      <c r="C5" s="10" t="n">
        <f aca="false">WORKDAY('Tong quan'!$B$11,3)</f>
        <v>46331</v>
      </c>
      <c r="D5" s="10" t="n">
        <f aca="false">WORKDAY('Tong quan'!$B$11,3)+6</f>
        <v>46337</v>
      </c>
      <c r="E5" s="9" t="s">
        <v>335</v>
      </c>
      <c r="F5" s="9" t="s">
        <v>336</v>
      </c>
      <c r="G5" s="9" t="s">
        <v>337</v>
      </c>
      <c r="H5" s="11" t="s">
        <v>56</v>
      </c>
      <c r="I5" s="9"/>
    </row>
    <row r="6" customFormat="false" ht="24.05" hidden="false" customHeight="false" outlineLevel="0" collapsed="false">
      <c r="A6" s="11" t="n">
        <v>2</v>
      </c>
      <c r="B6" s="11" t="s">
        <v>334</v>
      </c>
      <c r="C6" s="10" t="n">
        <f aca="false">WORKDAY('Tong quan'!$B$11,3)</f>
        <v>46331</v>
      </c>
      <c r="D6" s="10" t="n">
        <f aca="false">WORKDAY('Tong quan'!$B$11,3)+6</f>
        <v>46337</v>
      </c>
      <c r="E6" s="9" t="s">
        <v>338</v>
      </c>
      <c r="F6" s="9" t="s">
        <v>339</v>
      </c>
      <c r="G6" s="9" t="s">
        <v>340</v>
      </c>
      <c r="H6" s="11" t="s">
        <v>56</v>
      </c>
      <c r="I6" s="9"/>
    </row>
    <row r="7" customFormat="false" ht="15" hidden="false" customHeight="false" outlineLevel="0" collapsed="false">
      <c r="A7" s="11" t="n">
        <v>3</v>
      </c>
      <c r="B7" s="11" t="s">
        <v>334</v>
      </c>
      <c r="C7" s="10" t="n">
        <f aca="false">WORKDAY('Tong quan'!$B$11,3)</f>
        <v>46331</v>
      </c>
      <c r="D7" s="10" t="n">
        <f aca="false">WORKDAY('Tong quan'!$B$11,3)+6</f>
        <v>46337</v>
      </c>
      <c r="E7" s="9" t="s">
        <v>341</v>
      </c>
      <c r="F7" s="9" t="s">
        <v>264</v>
      </c>
      <c r="G7" s="9" t="s">
        <v>342</v>
      </c>
      <c r="H7" s="11" t="s">
        <v>56</v>
      </c>
      <c r="I7" s="9"/>
    </row>
    <row r="8" customFormat="false" ht="15" hidden="false" customHeight="false" outlineLevel="0" collapsed="false">
      <c r="A8" s="11" t="n">
        <v>4</v>
      </c>
      <c r="B8" s="11" t="s">
        <v>334</v>
      </c>
      <c r="C8" s="10" t="n">
        <f aca="false">WORKDAY('Tong quan'!$B$11,3)</f>
        <v>46331</v>
      </c>
      <c r="D8" s="10" t="n">
        <f aca="false">WORKDAY('Tong quan'!$B$11,3)+6</f>
        <v>46337</v>
      </c>
      <c r="E8" s="9" t="s">
        <v>343</v>
      </c>
      <c r="F8" s="9" t="s">
        <v>102</v>
      </c>
      <c r="G8" s="9" t="s">
        <v>344</v>
      </c>
      <c r="H8" s="11" t="s">
        <v>56</v>
      </c>
      <c r="I8" s="9"/>
    </row>
    <row r="9" customFormat="false" ht="24.05" hidden="false" customHeight="false" outlineLevel="0" collapsed="false">
      <c r="A9" s="11" t="n">
        <v>5</v>
      </c>
      <c r="B9" s="11" t="s">
        <v>345</v>
      </c>
      <c r="C9" s="10" t="n">
        <f aca="false">WORKDAY('Tong quan'!$B$11,3)+7</f>
        <v>46338</v>
      </c>
      <c r="D9" s="10" t="n">
        <f aca="false">WORKDAY('Tong quan'!$B$11,3)+13</f>
        <v>46344</v>
      </c>
      <c r="E9" s="9" t="s">
        <v>346</v>
      </c>
      <c r="F9" s="9" t="s">
        <v>347</v>
      </c>
      <c r="G9" s="9" t="s">
        <v>348</v>
      </c>
      <c r="H9" s="11" t="s">
        <v>56</v>
      </c>
      <c r="I9" s="9"/>
    </row>
    <row r="10" customFormat="false" ht="24.05" hidden="false" customHeight="false" outlineLevel="0" collapsed="false">
      <c r="A10" s="11" t="n">
        <v>6</v>
      </c>
      <c r="B10" s="11" t="s">
        <v>345</v>
      </c>
      <c r="C10" s="10" t="n">
        <f aca="false">WORKDAY('Tong quan'!$B$11,3)+7</f>
        <v>46338</v>
      </c>
      <c r="D10" s="10" t="n">
        <f aca="false">WORKDAY('Tong quan'!$B$11,3)+13</f>
        <v>46344</v>
      </c>
      <c r="E10" s="9" t="s">
        <v>349</v>
      </c>
      <c r="F10" s="9" t="s">
        <v>350</v>
      </c>
      <c r="G10" s="9" t="s">
        <v>351</v>
      </c>
      <c r="H10" s="11" t="s">
        <v>56</v>
      </c>
      <c r="I10" s="9"/>
    </row>
    <row r="11" customFormat="false" ht="15" hidden="false" customHeight="false" outlineLevel="0" collapsed="false">
      <c r="A11" s="11" t="n">
        <v>7</v>
      </c>
      <c r="B11" s="11" t="s">
        <v>345</v>
      </c>
      <c r="C11" s="10" t="n">
        <f aca="false">WORKDAY('Tong quan'!$B$11,3)+7</f>
        <v>46338</v>
      </c>
      <c r="D11" s="10" t="n">
        <f aca="false">WORKDAY('Tong quan'!$B$11,3)+13</f>
        <v>46344</v>
      </c>
      <c r="E11" s="9" t="s">
        <v>352</v>
      </c>
      <c r="F11" s="9" t="s">
        <v>304</v>
      </c>
      <c r="G11" s="9" t="s">
        <v>353</v>
      </c>
      <c r="H11" s="11" t="s">
        <v>56</v>
      </c>
      <c r="I11" s="9"/>
    </row>
    <row r="12" customFormat="false" ht="24.05" hidden="false" customHeight="false" outlineLevel="0" collapsed="false">
      <c r="A12" s="11" t="n">
        <v>8</v>
      </c>
      <c r="B12" s="11" t="s">
        <v>354</v>
      </c>
      <c r="C12" s="10" t="n">
        <f aca="false">WORKDAY('Tong quan'!$B$11,3)+14</f>
        <v>46345</v>
      </c>
      <c r="D12" s="10" t="n">
        <f aca="false">WORKDAY('Tong quan'!$B$11,3)+20</f>
        <v>46351</v>
      </c>
      <c r="E12" s="9" t="s">
        <v>355</v>
      </c>
      <c r="F12" s="9" t="s">
        <v>356</v>
      </c>
      <c r="G12" s="9" t="s">
        <v>357</v>
      </c>
      <c r="H12" s="11" t="s">
        <v>56</v>
      </c>
      <c r="I12" s="9"/>
    </row>
    <row r="13" customFormat="false" ht="24.05" hidden="false" customHeight="false" outlineLevel="0" collapsed="false">
      <c r="A13" s="11" t="n">
        <v>9</v>
      </c>
      <c r="B13" s="11" t="s">
        <v>354</v>
      </c>
      <c r="C13" s="10" t="n">
        <f aca="false">WORKDAY('Tong quan'!$B$11,3)+14</f>
        <v>46345</v>
      </c>
      <c r="D13" s="10" t="n">
        <f aca="false">WORKDAY('Tong quan'!$B$11,3)+20</f>
        <v>46351</v>
      </c>
      <c r="E13" s="9" t="s">
        <v>358</v>
      </c>
      <c r="F13" s="9" t="s">
        <v>359</v>
      </c>
      <c r="G13" s="9" t="s">
        <v>360</v>
      </c>
      <c r="H13" s="11" t="s">
        <v>56</v>
      </c>
      <c r="I13" s="9"/>
    </row>
    <row r="14" customFormat="false" ht="15" hidden="false" customHeight="false" outlineLevel="0" collapsed="false">
      <c r="A14" s="11" t="n">
        <v>10</v>
      </c>
      <c r="B14" s="11" t="s">
        <v>354</v>
      </c>
      <c r="C14" s="10" t="n">
        <f aca="false">WORKDAY('Tong quan'!$B$11,3)+14</f>
        <v>46345</v>
      </c>
      <c r="D14" s="10" t="n">
        <f aca="false">WORKDAY('Tong quan'!$B$11,3)+20</f>
        <v>46351</v>
      </c>
      <c r="E14" s="9" t="s">
        <v>361</v>
      </c>
      <c r="F14" s="9" t="s">
        <v>336</v>
      </c>
      <c r="G14" s="9" t="s">
        <v>362</v>
      </c>
      <c r="H14" s="11" t="s">
        <v>56</v>
      </c>
      <c r="I14" s="9"/>
    </row>
    <row r="15" customFormat="false" ht="15" hidden="false" customHeight="false" outlineLevel="0" collapsed="false">
      <c r="A15" s="11" t="n">
        <v>11</v>
      </c>
      <c r="B15" s="11" t="s">
        <v>363</v>
      </c>
      <c r="C15" s="10" t="n">
        <f aca="false">WORKDAY('Tong quan'!$B$11,3)+21</f>
        <v>46352</v>
      </c>
      <c r="D15" s="10" t="n">
        <f aca="false">EDATE(WORKDAY('Tong quan'!$B$11,3),1)-1</f>
        <v>46360</v>
      </c>
      <c r="E15" s="9" t="s">
        <v>364</v>
      </c>
      <c r="F15" s="9" t="s">
        <v>356</v>
      </c>
      <c r="G15" s="9" t="s">
        <v>365</v>
      </c>
      <c r="H15" s="11" t="s">
        <v>56</v>
      </c>
      <c r="I15" s="9"/>
    </row>
    <row r="16" customFormat="false" ht="15" hidden="false" customHeight="false" outlineLevel="0" collapsed="false">
      <c r="A16" s="11" t="n">
        <v>12</v>
      </c>
      <c r="B16" s="11" t="s">
        <v>363</v>
      </c>
      <c r="C16" s="10" t="n">
        <f aca="false">WORKDAY('Tong quan'!$B$11,3)+21</f>
        <v>46352</v>
      </c>
      <c r="D16" s="10" t="n">
        <f aca="false">EDATE(WORKDAY('Tong quan'!$B$11,3),1)-1</f>
        <v>46360</v>
      </c>
      <c r="E16" s="9" t="s">
        <v>366</v>
      </c>
      <c r="F16" s="9" t="s">
        <v>125</v>
      </c>
      <c r="G16" s="9" t="s">
        <v>367</v>
      </c>
      <c r="H16" s="11" t="s">
        <v>56</v>
      </c>
      <c r="I16" s="9"/>
    </row>
    <row r="17" customFormat="false" ht="24.05" hidden="false" customHeight="false" outlineLevel="0" collapsed="false">
      <c r="A17" s="11" t="n">
        <v>13</v>
      </c>
      <c r="B17" s="11" t="s">
        <v>363</v>
      </c>
      <c r="C17" s="10" t="n">
        <f aca="false">WORKDAY('Tong quan'!$B$11,3)+21</f>
        <v>46352</v>
      </c>
      <c r="D17" s="10" t="n">
        <f aca="false">EDATE(WORKDAY('Tong quan'!$B$11,3),1)-1</f>
        <v>46360</v>
      </c>
      <c r="E17" s="9" t="s">
        <v>368</v>
      </c>
      <c r="F17" s="9" t="s">
        <v>264</v>
      </c>
      <c r="G17" s="9" t="s">
        <v>369</v>
      </c>
      <c r="H17" s="11" t="s">
        <v>56</v>
      </c>
      <c r="I17" s="9"/>
    </row>
    <row r="19" customFormat="false" ht="15" hidden="false" customHeight="false" outlineLevel="0" collapsed="false">
      <c r="E19" s="5" t="s">
        <v>370</v>
      </c>
    </row>
    <row r="20" customFormat="false" ht="27.75" hidden="false" customHeight="true" outlineLevel="0" collapsed="false">
      <c r="E20" s="4" t="s">
        <v>371</v>
      </c>
      <c r="F20" s="4"/>
      <c r="G20" s="4"/>
      <c r="H20" s="4"/>
      <c r="I20" s="4"/>
    </row>
    <row r="21" customFormat="false" ht="27.75" hidden="false" customHeight="true" outlineLevel="0" collapsed="false">
      <c r="E21" s="4" t="s">
        <v>372</v>
      </c>
      <c r="F21" s="4"/>
      <c r="G21" s="4"/>
      <c r="H21" s="4"/>
      <c r="I21" s="4"/>
    </row>
    <row r="22" customFormat="false" ht="27.75" hidden="false" customHeight="true" outlineLevel="0" collapsed="false">
      <c r="E22" s="4" t="s">
        <v>373</v>
      </c>
      <c r="F22" s="4"/>
      <c r="G22" s="4"/>
      <c r="H22" s="4"/>
      <c r="I22" s="4"/>
    </row>
    <row r="23" customFormat="false" ht="27.75" hidden="false" customHeight="true" outlineLevel="0" collapsed="false">
      <c r="E23" s="4" t="s">
        <v>374</v>
      </c>
      <c r="F23" s="4"/>
      <c r="G23" s="4"/>
      <c r="H23" s="4"/>
      <c r="I23" s="4"/>
    </row>
  </sheetData>
  <mergeCells count="6">
    <mergeCell ref="A1:I1"/>
    <mergeCell ref="A2:I2"/>
    <mergeCell ref="E20:I20"/>
    <mergeCell ref="E21:I21"/>
    <mergeCell ref="E22:I22"/>
    <mergeCell ref="E23:I23"/>
  </mergeCells>
  <conditionalFormatting sqref="H5:H17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"Vướng"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H5:H17" type="list">
      <formula1>"Chưa làm,Đang làm,Xong,Vướng"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8"/>
  </cols>
  <sheetData>
    <row r="1" customFormat="false" ht="18.55" hidden="false" customHeight="false" outlineLevel="0" collapsed="false">
      <c r="A1" s="1" t="s">
        <v>375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376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8" t="s">
        <v>41</v>
      </c>
      <c r="B4" s="8" t="s">
        <v>42</v>
      </c>
      <c r="C4" s="8" t="s">
        <v>377</v>
      </c>
      <c r="D4" s="8" t="s">
        <v>378</v>
      </c>
      <c r="E4" s="8" t="s">
        <v>379</v>
      </c>
      <c r="F4" s="8" t="s">
        <v>380</v>
      </c>
      <c r="G4" s="8" t="s">
        <v>46</v>
      </c>
      <c r="H4" s="8" t="s">
        <v>381</v>
      </c>
      <c r="I4" s="8" t="s">
        <v>382</v>
      </c>
      <c r="J4" s="8" t="s">
        <v>383</v>
      </c>
    </row>
    <row r="5" customFormat="false" ht="15" hidden="false" customHeight="false" outlineLevel="0" collapsed="false">
      <c r="A5" s="11" t="n">
        <v>1</v>
      </c>
      <c r="B5" s="9" t="s">
        <v>384</v>
      </c>
      <c r="C5" s="9" t="s">
        <v>385</v>
      </c>
      <c r="D5" s="9" t="s">
        <v>386</v>
      </c>
      <c r="E5" s="11" t="s">
        <v>387</v>
      </c>
      <c r="F5" s="20" t="n">
        <v>1</v>
      </c>
      <c r="G5" s="11" t="s">
        <v>55</v>
      </c>
      <c r="H5" s="21"/>
      <c r="I5" s="11" t="str">
        <f aca="false">IF(H5="","Chưa đo",IF(E5="&gt;=",IF(H5&gt;=F5,"Đạt","Không đạt"),IF(H5&lt;=F5,"Đạt","Không đạt")))</f>
        <v>Chưa đo</v>
      </c>
      <c r="J5" s="9" t="s">
        <v>388</v>
      </c>
    </row>
    <row r="6" customFormat="false" ht="24.05" hidden="false" customHeight="false" outlineLevel="0" collapsed="false">
      <c r="A6" s="11" t="n">
        <v>2</v>
      </c>
      <c r="B6" s="9" t="s">
        <v>389</v>
      </c>
      <c r="C6" s="9" t="s">
        <v>390</v>
      </c>
      <c r="D6" s="9" t="s">
        <v>391</v>
      </c>
      <c r="E6" s="11" t="s">
        <v>387</v>
      </c>
      <c r="F6" s="20" t="n">
        <v>0.95</v>
      </c>
      <c r="G6" s="11" t="s">
        <v>55</v>
      </c>
      <c r="H6" s="21"/>
      <c r="I6" s="11" t="str">
        <f aca="false">IF(H6="","Chưa đo",IF(E6="&gt;=",IF(H6&gt;=F6,"Đạt","Không đạt"),IF(H6&lt;=F6,"Đạt","Không đạt")))</f>
        <v>Chưa đo</v>
      </c>
      <c r="J6" s="9" t="s">
        <v>392</v>
      </c>
    </row>
    <row r="7" customFormat="false" ht="24.05" hidden="false" customHeight="false" outlineLevel="0" collapsed="false">
      <c r="A7" s="11" t="n">
        <v>3</v>
      </c>
      <c r="B7" s="9" t="s">
        <v>389</v>
      </c>
      <c r="C7" s="9" t="s">
        <v>393</v>
      </c>
      <c r="D7" s="9" t="s">
        <v>394</v>
      </c>
      <c r="E7" s="11" t="s">
        <v>395</v>
      </c>
      <c r="F7" s="22" t="n">
        <v>30</v>
      </c>
      <c r="G7" s="11" t="s">
        <v>55</v>
      </c>
      <c r="H7" s="23"/>
      <c r="I7" s="11" t="str">
        <f aca="false">IF(H7="","Chưa đo",IF(E7="&gt;=",IF(H7&gt;=F7,"Đạt","Không đạt"),IF(H7&lt;=F7,"Đạt","Không đạt")))</f>
        <v>Chưa đo</v>
      </c>
      <c r="J7" s="9" t="s">
        <v>396</v>
      </c>
    </row>
    <row r="8" customFormat="false" ht="15" hidden="false" customHeight="false" outlineLevel="0" collapsed="false">
      <c r="A8" s="11" t="n">
        <v>4</v>
      </c>
      <c r="B8" s="9" t="s">
        <v>389</v>
      </c>
      <c r="C8" s="9" t="s">
        <v>397</v>
      </c>
      <c r="D8" s="9" t="s">
        <v>398</v>
      </c>
      <c r="E8" s="11" t="s">
        <v>387</v>
      </c>
      <c r="F8" s="20" t="n">
        <v>0.95</v>
      </c>
      <c r="G8" s="11" t="s">
        <v>65</v>
      </c>
      <c r="H8" s="21"/>
      <c r="I8" s="11" t="str">
        <f aca="false">IF(H8="","Chưa đo",IF(E8="&gt;=",IF(H8&gt;=F8,"Đạt","Không đạt"),IF(H8&lt;=F8,"Đạt","Không đạt")))</f>
        <v>Chưa đo</v>
      </c>
      <c r="J8" s="9" t="s">
        <v>399</v>
      </c>
    </row>
    <row r="9" customFormat="false" ht="15" hidden="false" customHeight="false" outlineLevel="0" collapsed="false">
      <c r="A9" s="11" t="n">
        <v>5</v>
      </c>
      <c r="B9" s="9" t="s">
        <v>389</v>
      </c>
      <c r="C9" s="9" t="s">
        <v>400</v>
      </c>
      <c r="D9" s="9" t="s">
        <v>401</v>
      </c>
      <c r="E9" s="11" t="s">
        <v>387</v>
      </c>
      <c r="F9" s="20" t="n">
        <v>0.99</v>
      </c>
      <c r="G9" s="11" t="s">
        <v>55</v>
      </c>
      <c r="H9" s="21"/>
      <c r="I9" s="11" t="str">
        <f aca="false">IF(H9="","Chưa đo",IF(E9="&gt;=",IF(H9&gt;=F9,"Đạt","Không đạt"),IF(H9&lt;=F9,"Đạt","Không đạt")))</f>
        <v>Chưa đo</v>
      </c>
      <c r="J9" s="9" t="s">
        <v>392</v>
      </c>
    </row>
    <row r="10" customFormat="false" ht="24.05" hidden="false" customHeight="false" outlineLevel="0" collapsed="false">
      <c r="A10" s="11" t="n">
        <v>6</v>
      </c>
      <c r="B10" s="9" t="s">
        <v>389</v>
      </c>
      <c r="C10" s="9" t="s">
        <v>402</v>
      </c>
      <c r="D10" s="9" t="s">
        <v>403</v>
      </c>
      <c r="E10" s="11" t="s">
        <v>395</v>
      </c>
      <c r="F10" s="22" t="n">
        <v>0</v>
      </c>
      <c r="G10" s="11" t="s">
        <v>55</v>
      </c>
      <c r="H10" s="23"/>
      <c r="I10" s="11" t="str">
        <f aca="false">IF(H10="","Chưa đo",IF(E10="&gt;=",IF(H10&gt;=F10,"Đạt","Không đạt"),IF(H10&lt;=F10,"Đạt","Không đạt")))</f>
        <v>Chưa đo</v>
      </c>
      <c r="J10" s="9" t="s">
        <v>404</v>
      </c>
    </row>
    <row r="11" customFormat="false" ht="24.05" hidden="false" customHeight="false" outlineLevel="0" collapsed="false">
      <c r="A11" s="11" t="n">
        <v>7</v>
      </c>
      <c r="B11" s="9" t="s">
        <v>405</v>
      </c>
      <c r="C11" s="9" t="s">
        <v>406</v>
      </c>
      <c r="D11" s="9" t="s">
        <v>407</v>
      </c>
      <c r="E11" s="11" t="s">
        <v>395</v>
      </c>
      <c r="F11" s="20" t="n">
        <v>0.05</v>
      </c>
      <c r="G11" s="11" t="s">
        <v>55</v>
      </c>
      <c r="H11" s="21"/>
      <c r="I11" s="11" t="str">
        <f aca="false">IF(H11="","Chưa đo",IF(E11="&gt;=",IF(H11&gt;=F11,"Đạt","Không đạt"),IF(H11&lt;=F11,"Đạt","Không đạt")))</f>
        <v>Chưa đo</v>
      </c>
      <c r="J11" s="9" t="s">
        <v>408</v>
      </c>
    </row>
    <row r="12" customFormat="false" ht="24.05" hidden="false" customHeight="false" outlineLevel="0" collapsed="false">
      <c r="A12" s="11" t="n">
        <v>8</v>
      </c>
      <c r="B12" s="9" t="s">
        <v>405</v>
      </c>
      <c r="C12" s="9" t="s">
        <v>409</v>
      </c>
      <c r="D12" s="9" t="s">
        <v>410</v>
      </c>
      <c r="E12" s="11" t="s">
        <v>387</v>
      </c>
      <c r="F12" s="20" t="n">
        <v>0.7</v>
      </c>
      <c r="G12" s="11" t="s">
        <v>55</v>
      </c>
      <c r="H12" s="21"/>
      <c r="I12" s="11" t="str">
        <f aca="false">IF(H12="","Chưa đo",IF(E12="&gt;=",IF(H12&gt;=F12,"Đạt","Không đạt"),IF(H12&lt;=F12,"Đạt","Không đạt")))</f>
        <v>Chưa đo</v>
      </c>
      <c r="J12" s="9" t="s">
        <v>411</v>
      </c>
    </row>
    <row r="13" customFormat="false" ht="24.05" hidden="false" customHeight="false" outlineLevel="0" collapsed="false">
      <c r="A13" s="11" t="n">
        <v>9</v>
      </c>
      <c r="B13" s="9" t="s">
        <v>412</v>
      </c>
      <c r="C13" s="9" t="s">
        <v>413</v>
      </c>
      <c r="D13" s="9" t="s">
        <v>414</v>
      </c>
      <c r="E13" s="11" t="s">
        <v>395</v>
      </c>
      <c r="F13" s="20" t="n">
        <v>0.7</v>
      </c>
      <c r="G13" s="11" t="s">
        <v>65</v>
      </c>
      <c r="H13" s="21"/>
      <c r="I13" s="11" t="str">
        <f aca="false">IF(H13="","Chưa đo",IF(E13="&gt;=",IF(H13&gt;=F13,"Đạt","Không đạt"),IF(H13&lt;=F13,"Đạt","Không đạt")))</f>
        <v>Chưa đo</v>
      </c>
      <c r="J13" s="9" t="s">
        <v>415</v>
      </c>
    </row>
    <row r="14" customFormat="false" ht="24.05" hidden="false" customHeight="false" outlineLevel="0" collapsed="false">
      <c r="A14" s="11" t="n">
        <v>10</v>
      </c>
      <c r="B14" s="9" t="s">
        <v>412</v>
      </c>
      <c r="C14" s="9" t="s">
        <v>416</v>
      </c>
      <c r="D14" s="9" t="s">
        <v>417</v>
      </c>
      <c r="E14" s="11" t="s">
        <v>395</v>
      </c>
      <c r="F14" s="24" t="n">
        <v>2</v>
      </c>
      <c r="G14" s="11" t="s">
        <v>65</v>
      </c>
      <c r="H14" s="25"/>
      <c r="I14" s="11" t="str">
        <f aca="false">IF(H14="","Chưa đo",IF(E14="&gt;=",IF(H14&gt;=F14,"Đạt","Không đạt"),IF(H14&lt;=F14,"Đạt","Không đạt")))</f>
        <v>Chưa đo</v>
      </c>
      <c r="J14" s="9" t="s">
        <v>418</v>
      </c>
    </row>
    <row r="15" customFormat="false" ht="24.05" hidden="false" customHeight="false" outlineLevel="0" collapsed="false">
      <c r="A15" s="11" t="n">
        <v>11</v>
      </c>
      <c r="B15" s="9" t="s">
        <v>412</v>
      </c>
      <c r="C15" s="9" t="s">
        <v>419</v>
      </c>
      <c r="D15" s="9" t="s">
        <v>420</v>
      </c>
      <c r="E15" s="11" t="s">
        <v>395</v>
      </c>
      <c r="F15" s="20" t="n">
        <v>0.9</v>
      </c>
      <c r="G15" s="11" t="s">
        <v>65</v>
      </c>
      <c r="H15" s="21"/>
      <c r="I15" s="11" t="str">
        <f aca="false">IF(H15="","Chưa đo",IF(E15="&gt;=",IF(H15&gt;=F15,"Đạt","Không đạt"),IF(H15&lt;=F15,"Đạt","Không đạt")))</f>
        <v>Chưa đo</v>
      </c>
      <c r="J15" s="9" t="s">
        <v>421</v>
      </c>
    </row>
    <row r="16" customFormat="false" ht="24.05" hidden="false" customHeight="false" outlineLevel="0" collapsed="false">
      <c r="A16" s="11" t="n">
        <v>12</v>
      </c>
      <c r="B16" s="9" t="s">
        <v>422</v>
      </c>
      <c r="C16" s="9" t="s">
        <v>423</v>
      </c>
      <c r="D16" s="9" t="s">
        <v>424</v>
      </c>
      <c r="E16" s="11" t="s">
        <v>387</v>
      </c>
      <c r="F16" s="20" t="n">
        <v>0.9</v>
      </c>
      <c r="G16" s="11" t="s">
        <v>65</v>
      </c>
      <c r="H16" s="21"/>
      <c r="I16" s="11" t="str">
        <f aca="false">IF(H16="","Chưa đo",IF(E16="&gt;=",IF(H16&gt;=F16,"Đạt","Không đạt"),IF(H16&lt;=F16,"Đạt","Không đạt")))</f>
        <v>Chưa đo</v>
      </c>
      <c r="J16" s="9" t="s">
        <v>392</v>
      </c>
    </row>
    <row r="17" customFormat="false" ht="15" hidden="false" customHeight="false" outlineLevel="0" collapsed="false">
      <c r="A17" s="11" t="n">
        <v>13</v>
      </c>
      <c r="B17" s="9" t="s">
        <v>422</v>
      </c>
      <c r="C17" s="9" t="s">
        <v>425</v>
      </c>
      <c r="D17" s="9" t="s">
        <v>426</v>
      </c>
      <c r="E17" s="11" t="s">
        <v>387</v>
      </c>
      <c r="F17" s="24" t="n">
        <v>4</v>
      </c>
      <c r="G17" s="11" t="s">
        <v>65</v>
      </c>
      <c r="H17" s="25"/>
      <c r="I17" s="11" t="str">
        <f aca="false">IF(H17="","Chưa đo",IF(E17="&gt;=",IF(H17&gt;=F17,"Đạt","Không đạt"),IF(H17&lt;=F17,"Đạt","Không đạt")))</f>
        <v>Chưa đo</v>
      </c>
      <c r="J17" s="9" t="s">
        <v>392</v>
      </c>
    </row>
    <row r="19" customFormat="false" ht="15" hidden="false" customHeight="false" outlineLevel="0" collapsed="false">
      <c r="C19" s="26" t="s">
        <v>427</v>
      </c>
      <c r="D19" s="27" t="n">
        <f aca="false">COUNTIF(G5:G17,"Có")</f>
        <v>7</v>
      </c>
    </row>
    <row r="20" customFormat="false" ht="15" hidden="false" customHeight="false" outlineLevel="0" collapsed="false">
      <c r="C20" s="26" t="s">
        <v>428</v>
      </c>
      <c r="D20" s="27" t="n">
        <f aca="false">COUNTIFS(G5:G17,"Có",I5:I17,"Đạt")</f>
        <v>0</v>
      </c>
    </row>
    <row r="21" customFormat="false" ht="15" hidden="false" customHeight="false" outlineLevel="0" collapsed="false">
      <c r="C21" s="26" t="s">
        <v>429</v>
      </c>
      <c r="D21" s="27" t="n">
        <f aca="false">COUNTIFS(G5:G17,"Có",I5:I17,"Chưa đo")</f>
        <v>7</v>
      </c>
    </row>
    <row r="22" customFormat="false" ht="15" hidden="false" customHeight="false" outlineLevel="0" collapsed="false">
      <c r="C22" s="26" t="s">
        <v>430</v>
      </c>
      <c r="D22" s="27" t="n">
        <f aca="false">COUNTIF(G5:G17,"Không")</f>
        <v>6</v>
      </c>
    </row>
    <row r="23" customFormat="false" ht="15" hidden="false" customHeight="false" outlineLevel="0" collapsed="false">
      <c r="C23" s="26" t="s">
        <v>428</v>
      </c>
      <c r="D23" s="27" t="n">
        <f aca="false">COUNTIFS(G5:G17,"Không",I5:I17,"Đạt")</f>
        <v>0</v>
      </c>
    </row>
    <row r="24" customFormat="false" ht="15" hidden="false" customHeight="false" outlineLevel="0" collapsed="false">
      <c r="C24" s="26" t="s">
        <v>431</v>
      </c>
      <c r="D24" s="28" t="n">
        <v>0.6</v>
      </c>
    </row>
    <row r="26" customFormat="false" ht="30" hidden="false" customHeight="true" outlineLevel="0" collapsed="false">
      <c r="C26" s="29" t="s">
        <v>432</v>
      </c>
      <c r="D26" s="30" t="str">
        <f aca="false">IF(D21&gt;0,"CHƯA ĐỦ SỐ LIỆU — còn "&amp;D21&amp;" chỉ số bắt buộc chưa đo",IF(AND(D20=D19,D23&gt;=D24*D22),"ĐẠT — đề xuất bật gửi cổng có kiểm soát và đưa vào vận hành thường quy","CHƯA ĐẠT — kéo dài chạy thử 2–4 tuần, khắc phục các chỉ số Không đạt"))</f>
        <v>CHƯA ĐỦ SỐ LIỆU — còn 7 chỉ số bắt buộc chưa đo</v>
      </c>
      <c r="E26" s="30"/>
      <c r="F26" s="30"/>
      <c r="G26" s="30"/>
      <c r="H26" s="30"/>
      <c r="I26" s="30"/>
      <c r="J26" s="30"/>
    </row>
    <row r="28" customFormat="false" ht="30" hidden="false" customHeight="true" outlineLevel="0" collapsed="false">
      <c r="C28" s="31" t="s">
        <v>433</v>
      </c>
      <c r="D28" s="31"/>
      <c r="E28" s="31"/>
      <c r="F28" s="31"/>
      <c r="G28" s="31"/>
      <c r="H28" s="31"/>
      <c r="I28" s="31"/>
      <c r="J28" s="31"/>
    </row>
  </sheetData>
  <mergeCells count="4">
    <mergeCell ref="A1:J1"/>
    <mergeCell ref="A2:J2"/>
    <mergeCell ref="D26:J26"/>
    <mergeCell ref="C28:J28"/>
  </mergeCells>
  <conditionalFormatting sqref="I5:I17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conditionalFormatting sqref="D26">
    <cfRule type="expression" priority="4" aboveAverage="0" equalAverage="0" bottom="0" percent="0" rank="0" text="" dxfId="0">
      <formula>LEFT(D26,3)="ĐẠT"</formula>
    </cfRule>
    <cfRule type="expression" priority="5" aboveAverage="0" equalAverage="0" bottom="0" percent="0" rank="0" text="" dxfId="1">
      <formula>LEFT(D26,4)="CHƯA"</formula>
    </cfRule>
  </conditionalFormatting>
  <dataValidations count="2">
    <dataValidation allowBlank="false" errorStyle="stop" operator="between" showDropDown="false" showErrorMessage="false" showInputMessage="false" sqref="G5:G17" type="list">
      <formula1>"Có,Không"</formula1>
      <formula2>0</formula2>
    </dataValidation>
    <dataValidation allowBlank="false" errorStyle="stop" operator="between" showDropDown="false" showErrorMessage="false" showInputMessage="false" sqref="E5:E17" type="list">
      <formula1>"&gt;=,&lt;="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16"/>
  </cols>
  <sheetData>
    <row r="1" customFormat="false" ht="18.55" hidden="false" customHeight="false" outlineLevel="0" collapsed="false">
      <c r="A1" s="1" t="s">
        <v>434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8" t="s">
        <v>41</v>
      </c>
      <c r="B3" s="8" t="s">
        <v>435</v>
      </c>
      <c r="C3" s="8" t="s">
        <v>436</v>
      </c>
      <c r="D3" s="8" t="s">
        <v>437</v>
      </c>
      <c r="E3" s="8" t="s">
        <v>438</v>
      </c>
      <c r="F3" s="8" t="s">
        <v>332</v>
      </c>
    </row>
    <row r="4" customFormat="false" ht="24.05" hidden="false" customHeight="false" outlineLevel="0" collapsed="false">
      <c r="A4" s="11" t="n">
        <v>1</v>
      </c>
      <c r="B4" s="9" t="s">
        <v>439</v>
      </c>
      <c r="C4" s="9" t="s">
        <v>440</v>
      </c>
      <c r="D4" s="9" t="s">
        <v>441</v>
      </c>
      <c r="E4" s="9" t="s">
        <v>442</v>
      </c>
      <c r="F4" s="9" t="s">
        <v>443</v>
      </c>
    </row>
    <row r="5" customFormat="false" ht="24.05" hidden="false" customHeight="false" outlineLevel="0" collapsed="false">
      <c r="A5" s="11" t="n">
        <v>2</v>
      </c>
      <c r="B5" s="9" t="s">
        <v>444</v>
      </c>
      <c r="C5" s="9" t="s">
        <v>445</v>
      </c>
      <c r="D5" s="9" t="s">
        <v>446</v>
      </c>
      <c r="E5" s="9" t="s">
        <v>447</v>
      </c>
      <c r="F5" s="9" t="s">
        <v>292</v>
      </c>
    </row>
    <row r="6" customFormat="false" ht="24.05" hidden="false" customHeight="false" outlineLevel="0" collapsed="false">
      <c r="A6" s="11" t="n">
        <v>3</v>
      </c>
      <c r="B6" s="9" t="s">
        <v>448</v>
      </c>
      <c r="C6" s="9" t="s">
        <v>449</v>
      </c>
      <c r="D6" s="9" t="s">
        <v>450</v>
      </c>
      <c r="E6" s="9" t="s">
        <v>451</v>
      </c>
      <c r="F6" s="9" t="s">
        <v>452</v>
      </c>
    </row>
    <row r="7" customFormat="false" ht="24.05" hidden="false" customHeight="false" outlineLevel="0" collapsed="false">
      <c r="A7" s="11" t="n">
        <v>4</v>
      </c>
      <c r="B7" s="9" t="s">
        <v>453</v>
      </c>
      <c r="C7" s="9" t="s">
        <v>454</v>
      </c>
      <c r="D7" s="9" t="s">
        <v>455</v>
      </c>
      <c r="E7" s="9" t="s">
        <v>456</v>
      </c>
      <c r="F7" s="9" t="s">
        <v>54</v>
      </c>
    </row>
    <row r="8" customFormat="false" ht="24.05" hidden="false" customHeight="false" outlineLevel="0" collapsed="false">
      <c r="A8" s="11" t="n">
        <v>5</v>
      </c>
      <c r="B8" s="9" t="s">
        <v>457</v>
      </c>
      <c r="C8" s="9" t="s">
        <v>458</v>
      </c>
      <c r="D8" s="9" t="s">
        <v>459</v>
      </c>
      <c r="E8" s="9" t="s">
        <v>460</v>
      </c>
      <c r="F8" s="9" t="s">
        <v>54</v>
      </c>
    </row>
    <row r="9" customFormat="false" ht="15" hidden="false" customHeight="false" outlineLevel="0" collapsed="false">
      <c r="A9" s="11" t="n">
        <v>6</v>
      </c>
      <c r="B9" s="9" t="s">
        <v>461</v>
      </c>
      <c r="C9" s="9" t="s">
        <v>462</v>
      </c>
      <c r="D9" s="9" t="s">
        <v>463</v>
      </c>
      <c r="E9" s="9" t="s">
        <v>464</v>
      </c>
      <c r="F9" s="9" t="s">
        <v>102</v>
      </c>
    </row>
    <row r="10" customFormat="false" ht="24.05" hidden="false" customHeight="false" outlineLevel="0" collapsed="false">
      <c r="A10" s="11" t="n">
        <v>7</v>
      </c>
      <c r="B10" s="9" t="s">
        <v>465</v>
      </c>
      <c r="C10" s="9" t="s">
        <v>466</v>
      </c>
      <c r="D10" s="9" t="s">
        <v>467</v>
      </c>
      <c r="E10" s="9" t="s">
        <v>468</v>
      </c>
      <c r="F10" s="9" t="s">
        <v>336</v>
      </c>
    </row>
    <row r="11" customFormat="false" ht="24.05" hidden="false" customHeight="false" outlineLevel="0" collapsed="false">
      <c r="A11" s="11" t="n">
        <v>8</v>
      </c>
      <c r="B11" s="9" t="s">
        <v>469</v>
      </c>
      <c r="C11" s="9" t="s">
        <v>470</v>
      </c>
      <c r="D11" s="9" t="s">
        <v>471</v>
      </c>
      <c r="E11" s="9" t="s">
        <v>472</v>
      </c>
      <c r="F11" s="9" t="s">
        <v>125</v>
      </c>
    </row>
    <row r="12" customFormat="false" ht="24.05" hidden="false" customHeight="false" outlineLevel="0" collapsed="false">
      <c r="A12" s="11" t="n">
        <v>9</v>
      </c>
      <c r="B12" s="9" t="s">
        <v>473</v>
      </c>
      <c r="C12" s="9" t="s">
        <v>474</v>
      </c>
      <c r="D12" s="9" t="s">
        <v>475</v>
      </c>
      <c r="E12" s="9" t="s">
        <v>476</v>
      </c>
      <c r="F12" s="9" t="s">
        <v>102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2026-10-22T09:10:30Z</dcterms:created>
  <dc:creator>openpyxl</dc:creator>
  <dc:description/>
  <dc:language>en-US</dc:language>
  <cp:lastModifiedBy/>
  <dcterms:modified xsi:type="dcterms:W3CDTF">2026-10-22T16:15:04Z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